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dia/image1.jpeg" ContentType="image/jpe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 Statements" sheetId="1" state="visible" r:id="rId2"/>
    <sheet name="GAAP Recon Note 1" sheetId="2" state="visible" r:id="rId3"/>
    <sheet name="GAAP Recon Note 2" sheetId="3" state="visible" r:id="rId4"/>
  </sheets>
  <definedNames>
    <definedName function="false" hidden="false" localSheetId="1" name="_xlnm.Print_Area" vbProcedure="false">'GAAP Recon Note 1'!$A$1:$L$23</definedName>
    <definedName function="false" hidden="false" localSheetId="2" name="_xlnm.Print_Area" vbProcedure="false">'GAAP Recon Note 2'!$A$1:$N$58</definedName>
    <definedName function="false" hidden="false" localSheetId="0" name="_xlnm.Print_Area" vbProcedure="false">'Income Statements'!$A$1:$U$59</definedName>
    <definedName function="false" hidden="false" name="sheet5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name="stupid" vbProcedure="false">{#N/A,#N/A,FALSE,"S1 Theatre Sum";#N/A,#N/A,FALSE,"S2 U.S. B.S.POS";#N/A,#N/A,FALSE,"S3 US POS";#N/A,#N/A,FALSE,"S4 Family POS";#N/A,#N/A,FALSE,"S5 Ship vs POS";#N/A,#N/A,FALSE,"S6 Top VAR"}</definedName>
    <definedName function="false" hidden="false" name="stupid2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name="stupidwho" vbProcedure="false">{#N/A,#N/A,FALSE,"S1 Theatre Sum";#N/A,#N/A,FALSE,"S2 U.S. B.S.POS";#N/A,#N/A,FALSE,"S3 US POS";#N/A,#N/A,FALSE,"S4 Family POS";#N/A,#N/A,FALSE,"S5 Ship vs POS";#N/A,#N/A,FALSE,"S6 Top VAR"}</definedName>
    <definedName function="false" hidden="false" name="stupidwho2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name="Utoo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name="wrn.Mfg._.Present.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name="wrn.Planning." vbProcedure="false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function="false" hidden="false" name="wrn.Planning1" vbProcedure="false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function="false" hidden="false" name="wrn.Slides._.Part1." vbProcedure="false">{#N/A,#N/A,FALSE,"s0a.Qtr Book";#N/A,#N/A,FALSE,"s0b.Theatre B/S";#N/A,#N/A,FALSE,"s1.Theatre Slide";#N/A,#N/A,FALSE,"s2.US B/S/P";#N/A,#N/A,FALSE,"s3.US CP POS";#N/A,#N/A,FALSE,"s4.Bus Unit BS";#N/A,#N/A,FALSE,"s5.CP WW Product Sum";#N/A,#N/A,FALSE,"S6 US POS";#N/A,#N/A,FALSE,"S7 Family POS";#N/A,#N/A,FALSE,"S8 Access Ship vs POS";#N/A,#N/A,FALSE,"s9.Wkgrp BSP $";#N/A,#N/A,FALSE,"s10.CP US Dist Sum";#N/A,#N/A,FALSE,"s11.Book YTD by Theatre"}</definedName>
    <definedName function="false" hidden="false" name="wrn.Slides._.Part2." vbProcedure="false">{#N/A,#N/A,FALSE,"s12 Access Fam BSP";#N/A,#N/A,FALSE,"s13 WG";#N/A,#N/A,FALSE,"s14 Azlan BSP";#N/A,#N/A,FALSE,"s15 Access Stk Rotate";#N/A,#N/A,FALSE,"s16 WG Stk Rotate";#N/A,#N/A,FALSE,"s17.Avg Days POS"}</definedName>
    <definedName function="false" hidden="false" name="xsxz" vbProcedure="false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function="false" hidden="false" name="yayaya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name="you" vbProcedure="false">{#N/A,#N/A,FALSE,"S1 Theatre Sum";#N/A,#N/A,FALSE,"S2 U.S. B.S.POS";#N/A,#N/A,FALSE,"S3 US POS";#N/A,#N/A,FALSE,"S4 Family POS";#N/A,#N/A,FALSE,"S5 Ship vs POS";#N/A,#N/A,FALSE,"S6 Top VAR"}</definedName>
    <definedName function="false" hidden="false" name="zdfdzfa" vbProcedure="false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function="false" hidden="false" name="Z_2DE5EA60_7A3A_11D2_AE76_0080C7A84E90_.wvu.Cols" vbProcedure="false">#REF!</definedName>
    <definedName function="false" hidden="false" name="Z_2DE5EA60_7A3A_11D2_AE76_0080C7A84E90_.wvu.PrintArea" vbProcedure="false">#REF!</definedName>
    <definedName function="false" hidden="false" name="Z_2DE5EA60_7A3A_11D2_AE76_0080C7A84E90_.wvu.Rows" vbProcedure="false">#REF!</definedName>
    <definedName function="false" hidden="false" name="_st2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name="__st2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localSheetId="1" name="sheet5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localSheetId="1" name="stupid" vbProcedure="false">{#N/A,#N/A,FALSE,"S1 Theatre Sum";#N/A,#N/A,FALSE,"S2 U.S. B.S.POS";#N/A,#N/A,FALSE,"S3 US POS";#N/A,#N/A,FALSE,"S4 Family POS";#N/A,#N/A,FALSE,"S5 Ship vs POS";#N/A,#N/A,FALSE,"S6 Top VAR"}</definedName>
    <definedName function="false" hidden="false" localSheetId="1" name="stupid2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localSheetId="1" name="stupidwho" vbProcedure="false">{#N/A,#N/A,FALSE,"S1 Theatre Sum";#N/A,#N/A,FALSE,"S2 U.S. B.S.POS";#N/A,#N/A,FALSE,"S3 US POS";#N/A,#N/A,FALSE,"S4 Family POS";#N/A,#N/A,FALSE,"S5 Ship vs POS";#N/A,#N/A,FALSE,"S6 Top VAR"}</definedName>
    <definedName function="false" hidden="false" localSheetId="1" name="stupidwho2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localSheetId="1" name="Utoo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localSheetId="1" name="wrn.Mfg._.Present.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localSheetId="1" name="wrn.Planning." vbProcedure="false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function="false" hidden="false" localSheetId="1" name="wrn.Planning1" vbProcedure="false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function="false" hidden="false" localSheetId="1" name="wrn.Slides._.Part1." vbProcedure="false">{#N/A,#N/A,FALSE,"s0a.Qtr Book";#N/A,#N/A,FALSE,"s0b.Theatre B/S";#N/A,#N/A,FALSE,"s1.Theatre Slide";#N/A,#N/A,FALSE,"s2.US B/S/P";#N/A,#N/A,FALSE,"s3.US CP POS";#N/A,#N/A,FALSE,"s4.Bus Unit BS";#N/A,#N/A,FALSE,"s5.CP WW Product Sum";#N/A,#N/A,FALSE,"S6 US POS";#N/A,#N/A,FALSE,"S7 Family POS";#N/A,#N/A,FALSE,"S8 Access Ship vs POS";#N/A,#N/A,FALSE,"s9.Wkgrp BSP $";#N/A,#N/A,FALSE,"s10.CP US Dist Sum";#N/A,#N/A,FALSE,"s11.Book YTD by Theatre"}</definedName>
    <definedName function="false" hidden="false" localSheetId="1" name="wrn.Slides._.Part2." vbProcedure="false">{#N/A,#N/A,FALSE,"s12 Access Fam BSP";#N/A,#N/A,FALSE,"s13 WG";#N/A,#N/A,FALSE,"s14 Azlan BSP";#N/A,#N/A,FALSE,"s15 Access Stk Rotate";#N/A,#N/A,FALSE,"s16 WG Stk Rotate";#N/A,#N/A,FALSE,"s17.Avg Days POS"}</definedName>
    <definedName function="false" hidden="false" localSheetId="1" name="xsxz" vbProcedure="false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function="false" hidden="false" localSheetId="1" name="yayaya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localSheetId="1" name="you" vbProcedure="false">{#N/A,#N/A,FALSE,"S1 Theatre Sum";#N/A,#N/A,FALSE,"S2 U.S. B.S.POS";#N/A,#N/A,FALSE,"S3 US POS";#N/A,#N/A,FALSE,"S4 Family POS";#N/A,#N/A,FALSE,"S5 Ship vs POS";#N/A,#N/A,FALSE,"S6 Top VAR"}</definedName>
    <definedName function="false" hidden="false" localSheetId="1" name="zdfdzfa" vbProcedure="false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function="false" hidden="false" localSheetId="1" name="_st2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localSheetId="1" name="__st2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localSheetId="2" name="sheet5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localSheetId="2" name="stupid" vbProcedure="false">{#N/A,#N/A,FALSE,"S1 Theatre Sum";#N/A,#N/A,FALSE,"S2 U.S. B.S.POS";#N/A,#N/A,FALSE,"S3 US POS";#N/A,#N/A,FALSE,"S4 Family POS";#N/A,#N/A,FALSE,"S5 Ship vs POS";#N/A,#N/A,FALSE,"S6 Top VAR"}</definedName>
    <definedName function="false" hidden="false" localSheetId="2" name="stupid2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localSheetId="2" name="stupidwho" vbProcedure="false">{#N/A,#N/A,FALSE,"S1 Theatre Sum";#N/A,#N/A,FALSE,"S2 U.S. B.S.POS";#N/A,#N/A,FALSE,"S3 US POS";#N/A,#N/A,FALSE,"S4 Family POS";#N/A,#N/A,FALSE,"S5 Ship vs POS";#N/A,#N/A,FALSE,"S6 Top VAR"}</definedName>
    <definedName function="false" hidden="false" localSheetId="2" name="stupidwho2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localSheetId="2" name="Utoo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localSheetId="2" name="wrn.Mfg._.Present.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localSheetId="2" name="wrn.Planning." vbProcedure="false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function="false" hidden="false" localSheetId="2" name="wrn.Planning1" vbProcedure="false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function="false" hidden="false" localSheetId="2" name="wrn.Slides._.Part1." vbProcedure="false">{#N/A,#N/A,FALSE,"s0a.Qtr Book";#N/A,#N/A,FALSE,"s0b.Theatre B/S";#N/A,#N/A,FALSE,"s1.Theatre Slide";#N/A,#N/A,FALSE,"s2.US B/S/P";#N/A,#N/A,FALSE,"s3.US CP POS";#N/A,#N/A,FALSE,"s4.Bus Unit BS";#N/A,#N/A,FALSE,"s5.CP WW Product Sum";#N/A,#N/A,FALSE,"S6 US POS";#N/A,#N/A,FALSE,"S7 Family POS";#N/A,#N/A,FALSE,"S8 Access Ship vs POS";#N/A,#N/A,FALSE,"s9.Wkgrp BSP $";#N/A,#N/A,FALSE,"s10.CP US Dist Sum";#N/A,#N/A,FALSE,"s11.Book YTD by Theatre"}</definedName>
    <definedName function="false" hidden="false" localSheetId="2" name="wrn.Slides._.Part2." vbProcedure="false">{#N/A,#N/A,FALSE,"s12 Access Fam BSP";#N/A,#N/A,FALSE,"s13 WG";#N/A,#N/A,FALSE,"s14 Azlan BSP";#N/A,#N/A,FALSE,"s15 Access Stk Rotate";#N/A,#N/A,FALSE,"s16 WG Stk Rotate";#N/A,#N/A,FALSE,"s17.Avg Days POS"}</definedName>
    <definedName function="false" hidden="false" localSheetId="2" name="xsxz" vbProcedure="false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function="false" hidden="false" localSheetId="2" name="yayaya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localSheetId="2" name="you" vbProcedure="false">{#N/A,#N/A,FALSE,"S1 Theatre Sum";#N/A,#N/A,FALSE,"S2 U.S. B.S.POS";#N/A,#N/A,FALSE,"S3 US POS";#N/A,#N/A,FALSE,"S4 Family POS";#N/A,#N/A,FALSE,"S5 Ship vs POS";#N/A,#N/A,FALSE,"S6 Top VAR"}</definedName>
    <definedName function="false" hidden="false" localSheetId="2" name="zdfdzfa" vbProcedure="false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function="false" hidden="false" localSheetId="2" name="_st2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localSheetId="2" name="__st2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<sst xmlns="http://schemas.openxmlformats.org/spreadsheetml/2006/main" count="208" uniqueCount="93">
  <si>
    <t xml:space="preserve">HISTORICAL FINANCIALS</t>
  </si>
  <si>
    <t xml:space="preserve">INCOME STATEMENTS</t>
  </si>
  <si>
    <t xml:space="preserve">(in millions, except per-share amounts)</t>
  </si>
  <si>
    <t xml:space="preserve">Notes (1) (2)</t>
  </si>
  <si>
    <t xml:space="preserve">GAAP</t>
  </si>
  <si>
    <t xml:space="preserve">NON-GAAP</t>
  </si>
  <si>
    <t xml:space="preserve">FY 2023</t>
  </si>
  <si>
    <t xml:space="preserve">Quarter Ended</t>
  </si>
  <si>
    <t xml:space="preserve">Year Ended</t>
  </si>
  <si>
    <t xml:space="preserve">October 29, 
2022</t>
  </si>
  <si>
    <t xml:space="preserve">January 28, 
2023</t>
  </si>
  <si>
    <t xml:space="preserve">April 29, 
2023</t>
  </si>
  <si>
    <t xml:space="preserve">July 29, 
2023</t>
  </si>
  <si>
    <t xml:space="preserve">REVENUE:</t>
  </si>
  <si>
    <t xml:space="preserve">Product</t>
  </si>
  <si>
    <t xml:space="preserve">Service</t>
  </si>
  <si>
    <t xml:space="preserve">   Total revenue</t>
  </si>
  <si>
    <t xml:space="preserve">COST OF SALES:</t>
  </si>
  <si>
    <t xml:space="preserve">Product (a) - (e) </t>
  </si>
  <si>
    <t xml:space="preserve">Service (a) &amp; (c)</t>
  </si>
  <si>
    <t xml:space="preserve">   Total cost of sales (a) - (e) </t>
  </si>
  <si>
    <r>
      <rPr>
        <b val="true"/>
        <sz val="10"/>
        <rFont val="Arial"/>
        <family val="2"/>
        <charset val="1"/>
      </rPr>
      <t xml:space="preserve">GROSS MARGIN </t>
    </r>
    <r>
      <rPr>
        <sz val="10"/>
        <rFont val="Arial"/>
        <family val="2"/>
        <charset val="1"/>
      </rPr>
      <t xml:space="preserve">(a) - (d)</t>
    </r>
  </si>
  <si>
    <t xml:space="preserve">Product gross margin percentage</t>
  </si>
  <si>
    <t xml:space="preserve">Service gross margin percentage</t>
  </si>
  <si>
    <t xml:space="preserve">Total gross margin percentage</t>
  </si>
  <si>
    <t xml:space="preserve">OPERATING EXPENSES:</t>
  </si>
  <si>
    <t xml:space="preserve">Research and development (a) &amp; (c)</t>
  </si>
  <si>
    <t xml:space="preserve">Sales and marketing (a), &amp; (c) &amp; (d)</t>
  </si>
  <si>
    <t xml:space="preserve">General and administrative (a), (c) &amp; (d)</t>
  </si>
  <si>
    <t xml:space="preserve">Amortization of purchased intangible assets (b)</t>
  </si>
  <si>
    <t xml:space="preserve">Restructuring and other charges (f)</t>
  </si>
  <si>
    <t xml:space="preserve">   Total operating expenses (a) - (f)</t>
  </si>
  <si>
    <t xml:space="preserve">Operating expense as a percentage of revenue</t>
  </si>
  <si>
    <r>
      <rPr>
        <b val="true"/>
        <sz val="10"/>
        <rFont val="Arial"/>
        <family val="2"/>
        <charset val="1"/>
      </rPr>
      <t xml:space="preserve">OPERATING INCOME </t>
    </r>
    <r>
      <rPr>
        <sz val="10"/>
        <rFont val="Arial"/>
        <family val="2"/>
        <charset val="1"/>
      </rPr>
      <t xml:space="preserve">(a) - (f)</t>
    </r>
  </si>
  <si>
    <t xml:space="preserve">Operating income as a percentage of revenue</t>
  </si>
  <si>
    <t xml:space="preserve">Interest income</t>
  </si>
  <si>
    <t xml:space="preserve">Interest expense</t>
  </si>
  <si>
    <t xml:space="preserve"> </t>
  </si>
  <si>
    <t xml:space="preserve">   Interest and other income (loss), net</t>
  </si>
  <si>
    <r>
      <rPr>
        <b val="true"/>
        <sz val="10"/>
        <rFont val="Arial"/>
        <family val="2"/>
        <charset val="1"/>
      </rPr>
      <t xml:space="preserve">INCOME BEFORE PROVISION FOR INCOME TAXES </t>
    </r>
    <r>
      <rPr>
        <sz val="10"/>
        <rFont val="Arial"/>
        <family val="2"/>
        <charset val="1"/>
      </rPr>
      <t xml:space="preserve">(a) - (g)</t>
    </r>
  </si>
  <si>
    <t xml:space="preserve">Provision for income taxes (h) - (i)</t>
  </si>
  <si>
    <r>
      <rPr>
        <b val="true"/>
        <sz val="10"/>
        <rFont val="Arial"/>
        <family val="2"/>
        <charset val="1"/>
      </rPr>
      <t xml:space="preserve">NET INCOME </t>
    </r>
    <r>
      <rPr>
        <sz val="10"/>
        <rFont val="Arial"/>
        <family val="2"/>
        <charset val="1"/>
      </rPr>
      <t xml:space="preserve">(a) - (i)</t>
    </r>
  </si>
  <si>
    <t xml:space="preserve">Net income per share:</t>
  </si>
  <si>
    <t xml:space="preserve">Basic (a) - (i)</t>
  </si>
  <si>
    <t xml:space="preserve">Diluted (a) - (i)</t>
  </si>
  <si>
    <t xml:space="preserve">Shares used in per-share calculation:</t>
  </si>
  <si>
    <t xml:space="preserve">Basic</t>
  </si>
  <si>
    <t xml:space="preserve">Diluted </t>
  </si>
  <si>
    <t xml:space="preserve">Cash dividends declared per common share</t>
  </si>
  <si>
    <t xml:space="preserve">Cisco's non-GAAP measures are not in accordance with, or an alternative for, generally accepted accounting principles and may be different from non-GAAP measures used by other companies. In addition, the above non-GAAP Consolidated Statements of Operations are not based on a comprehensive set of accounting rules or principles.  </t>
  </si>
  <si>
    <t xml:space="preserve">Note 1</t>
  </si>
  <si>
    <t xml:space="preserve">(in millions)</t>
  </si>
  <si>
    <t xml:space="preserve">A reconciliation between net income on a GAAP basis and non-GAAP net income including items (a) to (i) is as follows:</t>
  </si>
  <si>
    <t xml:space="preserve">GAAP net income</t>
  </si>
  <si>
    <t xml:space="preserve"> (a) </t>
  </si>
  <si>
    <t xml:space="preserve">Share-based compensation expense</t>
  </si>
  <si>
    <t xml:space="preserve">(b)</t>
  </si>
  <si>
    <t xml:space="preserve">Amortization of acquisition-related intangible assets</t>
  </si>
  <si>
    <t xml:space="preserve">(c)</t>
  </si>
  <si>
    <t xml:space="preserve">Other acquisition-related/divestiture costs</t>
  </si>
  <si>
    <t xml:space="preserve">(d)</t>
  </si>
  <si>
    <t xml:space="preserve">Russia-Ukraine war costs</t>
  </si>
  <si>
    <t xml:space="preserve">(e)</t>
  </si>
  <si>
    <t xml:space="preserve">Supplier component remediation charge (adjustment)</t>
  </si>
  <si>
    <t xml:space="preserve">(f)</t>
  </si>
  <si>
    <t xml:space="preserve">Significant asset impairments and restructurings</t>
  </si>
  <si>
    <t xml:space="preserve">(g)</t>
  </si>
  <si>
    <t xml:space="preserve">Gains and losses on equity investments</t>
  </si>
  <si>
    <t xml:space="preserve">Total adjustments to GAAP income before provision for income taxes</t>
  </si>
  <si>
    <t xml:space="preserve">(h)</t>
  </si>
  <si>
    <t xml:space="preserve">Income tax effect </t>
  </si>
  <si>
    <t xml:space="preserve">(i)</t>
  </si>
  <si>
    <t xml:space="preserve">Significant tax matters</t>
  </si>
  <si>
    <t xml:space="preserve">Total adjustments to GAAP provision for income taxes</t>
  </si>
  <si>
    <t xml:space="preserve">Non-GAAP net income</t>
  </si>
  <si>
    <t xml:space="preserve">Note 2</t>
  </si>
  <si>
    <t xml:space="preserve">COGS</t>
  </si>
  <si>
    <t xml:space="preserve">Operating Expense</t>
  </si>
  <si>
    <t xml:space="preserve">OI&amp;E</t>
  </si>
  <si>
    <t xml:space="preserve">Research and Development</t>
  </si>
  <si>
    <t xml:space="preserve">Sales and Marketing</t>
  </si>
  <si>
    <t xml:space="preserve">General and Administrative</t>
  </si>
  <si>
    <t xml:space="preserve">Amortization of Purchased Intangible Assets</t>
  </si>
  <si>
    <t xml:space="preserve">Restructuring and Other Charges</t>
  </si>
  <si>
    <t xml:space="preserve">Other Income (Expense)</t>
  </si>
  <si>
    <t xml:space="preserve">Total</t>
  </si>
  <si>
    <t xml:space="preserve">Items (a) to (g) in note 1 are allocated as follows:</t>
  </si>
  <si>
    <t xml:space="preserve">Items</t>
  </si>
  <si>
    <t xml:space="preserve">Q1'23</t>
  </si>
  <si>
    <t xml:space="preserve">Q2'23</t>
  </si>
  <si>
    <t xml:space="preserve">Q3'23</t>
  </si>
  <si>
    <t xml:space="preserve">Q4'23</t>
  </si>
  <si>
    <t xml:space="preserve">FY23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</si>
</sst>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_(\$* #,##0.00_);_(\$* \(#,##0.00\);_(\$* \-??_);_(@_)"/>
    <numFmt numFmtId="166" formatCode="0%"/>
    <numFmt numFmtId="167" formatCode="0"/>
    <numFmt numFmtId="168" formatCode="#,##0_);\(#,##0\)"/>
    <numFmt numFmtId="169" formatCode="General"/>
    <numFmt numFmtId="170" formatCode="_(* #,##0_);_(* \(#,##0\);_(* \-??_);_(@_)"/>
    <numFmt numFmtId="171" formatCode="[$-409]mmmm\ d&quot;, &quot;yyyy;@"/>
    <numFmt numFmtId="172" formatCode="\$#,##0_);[RED]&quot;($&quot;#,##0\)"/>
    <numFmt numFmtId="173" formatCode="_(\$* #,##0_);_(\$* \(#,##0\);_(\$* \-??_);_(@_)"/>
    <numFmt numFmtId="174" formatCode="_(* #,##0_);_(* \(#,##0\);_(* \-_);_(@_)"/>
    <numFmt numFmtId="175" formatCode="_(* #,##0.00_);_(* \(#,##0.00\);_(* \-??_);_(@_)"/>
    <numFmt numFmtId="176" formatCode="0.0%"/>
    <numFmt numFmtId="177" formatCode="@"/>
    <numFmt numFmtId="178" formatCode="#,##0_);[RED]\(#,##0\)"/>
    <numFmt numFmtId="179" formatCode="m/d/yyyy"/>
    <numFmt numFmtId="180" formatCode="_(\$* #,##0_);_(\$* \(#,##0\);_(\$* \-_);_(@_)"/>
  </numFmts>
  <fonts count="2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color rgb="FFFFFFFF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name val="Geneva"/>
      <family val="2"/>
      <charset val="1"/>
    </font>
    <font>
      <sz val="10"/>
      <color rgb="FFFF0000"/>
      <name val="Arial"/>
      <family val="2"/>
      <charset val="1"/>
    </font>
    <font>
      <i val="true"/>
      <sz val="9"/>
      <name val="Arial"/>
      <family val="2"/>
      <charset val="1"/>
    </font>
    <font>
      <sz val="9"/>
      <name val="Arial"/>
      <family val="2"/>
      <charset val="1"/>
    </font>
    <font>
      <i val="true"/>
      <sz val="10"/>
      <name val="Arial"/>
      <family val="2"/>
      <charset val="1"/>
    </font>
    <font>
      <i val="true"/>
      <sz val="9"/>
      <color rgb="FFFF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9"/>
      <name val="Arial"/>
      <family val="2"/>
      <charset val="1"/>
    </font>
    <font>
      <sz val="10"/>
      <color rgb="FFFF0000"/>
      <name val="Geneva"/>
      <family val="2"/>
      <charset val="1"/>
    </font>
    <font>
      <sz val="10"/>
      <name val="Geneva"/>
      <family val="2"/>
      <charset val="1"/>
    </font>
    <font>
      <sz val="9"/>
      <color rgb="FFFF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808080"/>
        <bgColor rgb="FF969696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double"/>
      <diagonal/>
    </border>
    <border diagonalUp="false" diagonalDown="false">
      <left/>
      <right style="thin"/>
      <top/>
      <bottom style="double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thin"/>
      <right style="thin"/>
      <top style="thin"/>
      <bottom style="double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1" applyFont="true" applyBorder="false" applyAlignment="true" applyProtection="true">
      <alignment horizontal="left" vertical="center" textRotation="0" wrapText="false" indent="12" shrinkToFit="false"/>
      <protection locked="false" hidden="false"/>
    </xf>
    <xf numFmtId="164" fontId="4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21" applyFont="true" applyBorder="false" applyAlignment="true" applyProtection="true">
      <alignment horizontal="left" vertical="center" textRotation="0" wrapText="false" indent="12" shrinkToFit="false"/>
      <protection locked="false" hidden="false"/>
    </xf>
    <xf numFmtId="164" fontId="4" fillId="3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21" applyFont="true" applyBorder="false" applyAlignment="true" applyProtection="true">
      <alignment horizontal="left" vertical="center" textRotation="0" wrapText="false" indent="12" shrinkToFit="false"/>
      <protection locked="false" hidden="false"/>
    </xf>
    <xf numFmtId="167" fontId="5" fillId="3" borderId="0" xfId="21" applyFont="true" applyBorder="false" applyAlignment="true" applyProtection="true">
      <alignment horizontal="left" vertical="center" textRotation="0" wrapText="false" indent="12" shrinkToFit="false"/>
      <protection locked="false" hidden="false"/>
    </xf>
    <xf numFmtId="164" fontId="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2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7" fillId="2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4" xfId="2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2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0" xfId="21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21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8" fillId="0" borderId="0" xfId="2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2" borderId="5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2" borderId="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3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0" xfId="21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1" fontId="6" fillId="3" borderId="6" xfId="2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7" xfId="2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6" fillId="3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6" fillId="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6" fillId="3" borderId="0" xfId="21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10" fillId="3" borderId="4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3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4" fillId="3" borderId="4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4" fillId="3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4" fillId="3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4" fillId="3" borderId="4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4" fillId="3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3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4" fillId="3" borderId="6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4" fillId="3" borderId="7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4" fillId="3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4" fillId="3" borderId="4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4" fillId="3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10" fillId="3" borderId="4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10" fillId="3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4" fillId="0" borderId="4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3" borderId="4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4" fillId="3" borderId="5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4" fillId="3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3" borderId="0" xfId="21" applyFont="true" applyBorder="false" applyAlignment="true" applyProtection="false">
      <alignment horizontal="left" vertical="bottom" textRotation="0" wrapText="false" indent="3" shrinkToFit="false"/>
      <protection locked="true" hidden="false"/>
    </xf>
    <xf numFmtId="176" fontId="11" fillId="3" borderId="4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3" borderId="5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3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3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21" applyFont="true" applyBorder="false" applyAlignment="true" applyProtection="false">
      <alignment horizontal="left" vertical="bottom" textRotation="0" wrapText="false" indent="4" shrinkToFit="false"/>
      <protection locked="true" hidden="false"/>
    </xf>
    <xf numFmtId="164" fontId="13" fillId="3" borderId="0" xfId="21" applyFont="true" applyBorder="false" applyAlignment="true" applyProtection="false">
      <alignment horizontal="left" vertical="bottom" textRotation="0" wrapText="false" indent="3" shrinkToFit="false"/>
      <protection locked="true" hidden="false"/>
    </xf>
    <xf numFmtId="176" fontId="14" fillId="3" borderId="4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14" fillId="3" borderId="5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10" fillId="3" borderId="4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10" fillId="3" borderId="5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4" fillId="3" borderId="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xfId="21" applyFont="true" applyBorder="false" applyAlignment="true" applyProtection="false">
      <alignment horizontal="left" vertical="bottom" textRotation="0" wrapText="false" indent="3" shrinkToFit="false"/>
      <protection locked="true" hidden="false"/>
    </xf>
    <xf numFmtId="164" fontId="6" fillId="3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4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4" fillId="0" borderId="5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4" fillId="3" borderId="7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4" fillId="0" borderId="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4" fillId="0" borderId="7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4" fillId="0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0" xfId="21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7" fontId="4" fillId="3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4" fillId="3" borderId="9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4" fillId="3" borderId="1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5" fillId="3" borderId="9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5" fillId="3" borderId="1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10" fillId="0" borderId="4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0" fillId="0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15" fillId="0" borderId="4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5" fillId="0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8" fontId="10" fillId="0" borderId="4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10" fillId="0" borderId="5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15" fillId="0" borderId="4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15" fillId="0" borderId="5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4" fillId="3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6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5" fillId="4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3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4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5" fillId="0" borderId="4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5" fillId="0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7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5" fillId="0" borderId="6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5" fillId="0" borderId="7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10" fillId="0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15" fillId="0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4" fillId="0" borderId="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4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4" fillId="0" borderId="7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15" fillId="0" borderId="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15" fillId="0" borderId="7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3" borderId="6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7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7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3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21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21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1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21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2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0" xfId="21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5" fillId="2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21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5" fillId="2" borderId="1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21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6" fillId="0" borderId="0" xfId="21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9" fontId="6" fillId="0" borderId="14" xfId="2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9" fontId="6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21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0" borderId="0" xfId="21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8" fontId="10" fillId="0" borderId="15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1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0" fillId="0" borderId="1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12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1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2" fillId="3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0" xfId="21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8" fontId="12" fillId="3" borderId="0" xfId="15" applyFont="true" applyBorder="true" applyAlignment="true" applyProtection="true">
      <alignment horizontal="left" vertical="bottom" textRotation="0" wrapText="false" indent="7" shrinkToFit="false"/>
      <protection locked="true" hidden="false"/>
    </xf>
    <xf numFmtId="164" fontId="19" fillId="3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3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8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2" fillId="3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3" borderId="1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8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3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1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3" borderId="1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7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2" fillId="3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10" fillId="3" borderId="1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3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4" fillId="3" borderId="16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4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0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21" applyFont="true" applyBorder="false" applyAlignment="true" applyProtection="true">
      <alignment horizontal="left" vertical="bottom" textRotation="0" wrapText="false" indent="12" shrinkToFit="false"/>
      <protection locked="false" hidden="false"/>
    </xf>
    <xf numFmtId="167" fontId="5" fillId="2" borderId="0" xfId="21" applyFont="true" applyBorder="false" applyAlignment="true" applyProtection="true">
      <alignment horizontal="left" vertical="bottom" textRotation="0" wrapText="false" indent="12" shrinkToFit="false"/>
      <protection locked="false" hidden="false"/>
    </xf>
    <xf numFmtId="164" fontId="6" fillId="3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3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3" borderId="0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5" fillId="2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2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3" borderId="0" xfId="15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4" fillId="3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2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1" xfId="21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4" fillId="3" borderId="0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0" fontId="4" fillId="0" borderId="0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0" fontId="6" fillId="3" borderId="0" xfId="15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70" fontId="8" fillId="3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6" fillId="3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4" fillId="3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4" fillId="3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4" fillId="3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4" fillId="3" borderId="1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4" fillId="0" borderId="4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4" fillId="0" borderId="5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4" fillId="0" borderId="15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" fillId="0" borderId="1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1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0" fontId="4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80" fontId="4" fillId="0" borderId="4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4" fillId="0" borderId="5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4" fillId="0" borderId="15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4" fillId="0" borderId="4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4" fillId="0" borderId="5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4" fillId="0" borderId="15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false">
      <alignment horizontal="left" vertical="bottom" textRotation="0" wrapText="true" indent="2" shrinkToFit="false"/>
      <protection locked="true" hidden="false"/>
    </xf>
    <xf numFmtId="180" fontId="4" fillId="0" borderId="1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4" fillId="0" borderId="18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4" fillId="0" borderId="19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4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4" fontId="4" fillId="3" borderId="4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4" fillId="3" borderId="5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4" fillId="3" borderId="15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3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4" fillId="3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21" applyFont="true" applyBorder="false" applyAlignment="true" applyProtection="false">
      <alignment horizontal="left" vertical="bottom" textRotation="0" wrapText="true" indent="2" shrinkToFit="false"/>
      <protection locked="true" hidden="false"/>
    </xf>
    <xf numFmtId="180" fontId="4" fillId="3" borderId="4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4" fillId="3" borderId="5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4" fillId="3" borderId="15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5" fillId="0" borderId="4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5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5" fillId="0" borderId="6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4" fillId="3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21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4" fontId="15" fillId="3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5" fillId="3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rrency 2 2" xfId="20"/>
    <cellStyle name="Normal 32" xfId="21"/>
    <cellStyle name="Percent 2 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79200</xdr:colOff>
      <xdr:row>0</xdr:row>
      <xdr:rowOff>79200</xdr:rowOff>
    </xdr:from>
    <xdr:to>
      <xdr:col>0</xdr:col>
      <xdr:colOff>649800</xdr:colOff>
      <xdr:row>2</xdr:row>
      <xdr:rowOff>37080</xdr:rowOff>
    </xdr:to>
    <xdr:pic>
      <xdr:nvPicPr>
        <xdr:cNvPr id="0" name="Image - Image1.jpeg" descr=""/>
        <xdr:cNvPicPr/>
      </xdr:nvPicPr>
      <xdr:blipFill>
        <a:blip r:embed="rId1"/>
        <a:stretch/>
      </xdr:blipFill>
      <xdr:spPr>
        <a:xfrm>
          <a:off x="79200" y="79200"/>
          <a:ext cx="570600" cy="319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79200</xdr:colOff>
      <xdr:row>0</xdr:row>
      <xdr:rowOff>79200</xdr:rowOff>
    </xdr:from>
    <xdr:to>
      <xdr:col>1</xdr:col>
      <xdr:colOff>227880</xdr:colOff>
      <xdr:row>2</xdr:row>
      <xdr:rowOff>74880</xdr:rowOff>
    </xdr:to>
    <xdr:pic>
      <xdr:nvPicPr>
        <xdr:cNvPr id="1" name="Image - Image1.jpeg" descr=""/>
        <xdr:cNvPicPr/>
      </xdr:nvPicPr>
      <xdr:blipFill>
        <a:blip r:embed="rId1"/>
        <a:stretch/>
      </xdr:blipFill>
      <xdr:spPr>
        <a:xfrm>
          <a:off x="79200" y="79200"/>
          <a:ext cx="609840" cy="319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79200</xdr:colOff>
      <xdr:row>0</xdr:row>
      <xdr:rowOff>79200</xdr:rowOff>
    </xdr:from>
    <xdr:to>
      <xdr:col>1</xdr:col>
      <xdr:colOff>77400</xdr:colOff>
      <xdr:row>2</xdr:row>
      <xdr:rowOff>74880</xdr:rowOff>
    </xdr:to>
    <xdr:pic>
      <xdr:nvPicPr>
        <xdr:cNvPr id="2" name="Image - Image1.jpeg" descr=""/>
        <xdr:cNvPicPr/>
      </xdr:nvPicPr>
      <xdr:blipFill>
        <a:blip r:embed="rId1"/>
        <a:stretch/>
      </xdr:blipFill>
      <xdr:spPr>
        <a:xfrm>
          <a:off x="79200" y="79200"/>
          <a:ext cx="594000" cy="3196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75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37" activeCellId="0" sqref="A37"/>
    </sheetView>
  </sheetViews>
  <sheetFormatPr defaultColWidth="11.453125" defaultRowHeight="14.25" zeroHeight="false" outlineLevelRow="0" outlineLevelCol="0"/>
  <cols>
    <col collapsed="false" customWidth="true" hidden="false" outlineLevel="0" max="1" min="1" style="0" width="24.73"/>
    <col collapsed="false" customWidth="true" hidden="false" outlineLevel="0" max="2" min="2" style="0" width="49.18"/>
    <col collapsed="false" customWidth="true" hidden="false" outlineLevel="0" max="3" min="3" style="0" width="18.18"/>
    <col collapsed="false" customWidth="true" hidden="false" outlineLevel="0" max="4" min="4" style="0" width="1.54"/>
    <col collapsed="false" customWidth="true" hidden="false" outlineLevel="0" max="5" min="5" style="0" width="18.18"/>
    <col collapsed="false" customWidth="true" hidden="false" outlineLevel="0" max="6" min="6" style="0" width="1.54"/>
    <col collapsed="false" customWidth="true" hidden="false" outlineLevel="0" max="7" min="7" style="0" width="18.18"/>
    <col collapsed="false" customWidth="true" hidden="false" outlineLevel="0" max="8" min="8" style="0" width="1.54"/>
    <col collapsed="false" customWidth="true" hidden="false" outlineLevel="0" max="9" min="9" style="0" width="18.18"/>
    <col collapsed="false" customWidth="true" hidden="false" outlineLevel="0" max="10" min="10" style="0" width="1.54"/>
    <col collapsed="false" customWidth="true" hidden="false" outlineLevel="0" max="11" min="11" style="0" width="18.18"/>
    <col collapsed="false" customWidth="true" hidden="false" outlineLevel="0" max="12" min="12" style="0" width="1.54"/>
    <col collapsed="false" customWidth="true" hidden="false" outlineLevel="0" max="13" min="13" style="0" width="18.18"/>
    <col collapsed="false" customWidth="true" hidden="false" outlineLevel="0" max="14" min="14" style="0" width="1.54"/>
    <col collapsed="false" customWidth="true" hidden="false" outlineLevel="0" max="15" min="15" style="0" width="18.18"/>
    <col collapsed="false" customWidth="true" hidden="false" outlineLevel="0" max="16" min="16" style="0" width="1.54"/>
    <col collapsed="false" customWidth="true" hidden="false" outlineLevel="0" max="17" min="17" style="0" width="18.18"/>
    <col collapsed="false" customWidth="true" hidden="false" outlineLevel="0" max="18" min="18" style="0" width="1.54"/>
    <col collapsed="false" customWidth="true" hidden="false" outlineLevel="0" max="19" min="19" style="0" width="18.18"/>
    <col collapsed="false" customWidth="true" hidden="false" outlineLevel="0" max="20" min="20" style="0" width="1.54"/>
    <col collapsed="false" customWidth="true" hidden="false" outlineLevel="0" max="21" min="21" style="0" width="18.18"/>
    <col collapsed="false" customWidth="true" hidden="false" outlineLevel="0" max="22" min="22" style="0" width="1.54"/>
    <col collapsed="false" customWidth="true" hidden="false" outlineLevel="0" max="23" min="23" style="0" width="18.18"/>
    <col collapsed="false" customWidth="true" hidden="false" outlineLevel="0" max="24" min="24" style="0" width="1.54"/>
    <col collapsed="false" customWidth="true" hidden="false" outlineLevel="0" max="26" min="25" style="0" width="18.18"/>
    <col collapsed="false" customWidth="true" hidden="false" outlineLevel="0" max="27" min="27" style="0" width="1.54"/>
    <col collapsed="false" customWidth="true" hidden="false" outlineLevel="0" max="29" min="28" style="0" width="18.18"/>
  </cols>
  <sheetData>
    <row r="1" customFormat="false" ht="14.25" hidden="false" customHeight="false" outlineLevel="0" collapsed="false">
      <c r="A1" s="1" t="s">
        <v>0</v>
      </c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4"/>
      <c r="Y1" s="3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customFormat="false" ht="14.25" hidden="false" customHeight="false" outlineLevel="0" collapsed="false">
      <c r="A2" s="1" t="s">
        <v>1</v>
      </c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4"/>
      <c r="Y2" s="3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customFormat="false" ht="14.25" hidden="false" customHeight="false" outlineLevel="0" collapsed="false">
      <c r="A3" s="6" t="s">
        <v>2</v>
      </c>
      <c r="B3" s="6"/>
      <c r="C3" s="6"/>
      <c r="D3" s="2"/>
      <c r="E3" s="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/>
      <c r="W3" s="7"/>
      <c r="X3" s="4"/>
      <c r="Y3" s="7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customFormat="false" ht="14.25" hidden="false" customHeight="false" outlineLevel="0" collapsed="false">
      <c r="A4" s="8"/>
      <c r="B4" s="8"/>
      <c r="C4" s="5"/>
      <c r="D4" s="5"/>
      <c r="E4" s="5"/>
      <c r="G4" s="9"/>
      <c r="I4" s="9"/>
      <c r="K4" s="9"/>
      <c r="M4" s="9"/>
      <c r="O4" s="9"/>
      <c r="Q4" s="9"/>
      <c r="S4" s="9"/>
      <c r="U4" s="9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customFormat="false" ht="14.25" hidden="false" customHeight="false" outlineLevel="0" collapsed="false">
      <c r="A5" s="10"/>
      <c r="B5" s="10"/>
      <c r="C5" s="11" t="s">
        <v>3</v>
      </c>
      <c r="D5" s="12"/>
      <c r="E5" s="13" t="s">
        <v>3</v>
      </c>
      <c r="G5" s="14" t="s">
        <v>3</v>
      </c>
      <c r="H5" s="12"/>
      <c r="I5" s="15" t="s">
        <v>3</v>
      </c>
      <c r="K5" s="14" t="s">
        <v>3</v>
      </c>
      <c r="L5" s="12"/>
      <c r="M5" s="15" t="s">
        <v>3</v>
      </c>
      <c r="O5" s="14" t="s">
        <v>3</v>
      </c>
      <c r="P5" s="12"/>
      <c r="Q5" s="15" t="s">
        <v>3</v>
      </c>
      <c r="S5" s="14" t="s">
        <v>3</v>
      </c>
      <c r="T5" s="12"/>
      <c r="U5" s="15" t="s">
        <v>3</v>
      </c>
      <c r="V5" s="4"/>
      <c r="W5" s="16"/>
      <c r="X5" s="4"/>
      <c r="Y5" s="16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customFormat="false" ht="14.25" hidden="false" customHeight="false" outlineLevel="0" collapsed="false">
      <c r="A6" s="10"/>
      <c r="B6" s="10"/>
      <c r="C6" s="17" t="s">
        <v>4</v>
      </c>
      <c r="D6" s="18"/>
      <c r="E6" s="19" t="s">
        <v>5</v>
      </c>
      <c r="F6" s="20"/>
      <c r="G6" s="21" t="s">
        <v>4</v>
      </c>
      <c r="H6" s="18"/>
      <c r="I6" s="22" t="s">
        <v>5</v>
      </c>
      <c r="J6" s="20"/>
      <c r="K6" s="21" t="s">
        <v>4</v>
      </c>
      <c r="L6" s="18"/>
      <c r="M6" s="22" t="s">
        <v>5</v>
      </c>
      <c r="N6" s="20"/>
      <c r="O6" s="21" t="s">
        <v>4</v>
      </c>
      <c r="P6" s="18"/>
      <c r="Q6" s="22" t="s">
        <v>5</v>
      </c>
      <c r="R6" s="20"/>
      <c r="S6" s="21" t="s">
        <v>4</v>
      </c>
      <c r="T6" s="18"/>
      <c r="U6" s="22" t="s">
        <v>5</v>
      </c>
      <c r="V6" s="23"/>
      <c r="W6" s="24"/>
      <c r="X6" s="4"/>
      <c r="Y6" s="24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customFormat="false" ht="19.5" hidden="false" customHeight="true" outlineLevel="0" collapsed="false">
      <c r="A7" s="25"/>
      <c r="B7" s="25"/>
      <c r="C7" s="26" t="s">
        <v>6</v>
      </c>
      <c r="D7" s="18"/>
      <c r="E7" s="27" t="str">
        <f aca="false">$C7</f>
        <v>FY 2023</v>
      </c>
      <c r="F7" s="28"/>
      <c r="G7" s="29" t="s">
        <v>6</v>
      </c>
      <c r="H7" s="18"/>
      <c r="I7" s="30" t="str">
        <f aca="false">$C7</f>
        <v>FY 2023</v>
      </c>
      <c r="J7" s="28"/>
      <c r="K7" s="29" t="s">
        <v>6</v>
      </c>
      <c r="L7" s="18"/>
      <c r="M7" s="30" t="str">
        <f aca="false">$C7</f>
        <v>FY 2023</v>
      </c>
      <c r="N7" s="28"/>
      <c r="O7" s="29" t="s">
        <v>6</v>
      </c>
      <c r="P7" s="18"/>
      <c r="Q7" s="30" t="str">
        <f aca="false">$C7</f>
        <v>FY 2023</v>
      </c>
      <c r="R7" s="28"/>
      <c r="S7" s="29" t="s">
        <v>6</v>
      </c>
      <c r="T7" s="18"/>
      <c r="U7" s="30" t="str">
        <f aca="false">$C7</f>
        <v>FY 2023</v>
      </c>
      <c r="V7" s="31"/>
      <c r="W7" s="32"/>
      <c r="X7" s="4"/>
      <c r="Y7" s="32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customFormat="false" ht="14.25" hidden="false" customHeight="false" outlineLevel="0" collapsed="false">
      <c r="A8" s="10"/>
      <c r="B8" s="10"/>
      <c r="C8" s="33" t="s">
        <v>7</v>
      </c>
      <c r="D8" s="18"/>
      <c r="E8" s="34" t="str">
        <f aca="false">C8</f>
        <v>Quarter Ended</v>
      </c>
      <c r="F8" s="28"/>
      <c r="G8" s="35" t="s">
        <v>7</v>
      </c>
      <c r="H8" s="18"/>
      <c r="I8" s="36" t="str">
        <f aca="false">G8</f>
        <v>Quarter Ended</v>
      </c>
      <c r="J8" s="28"/>
      <c r="K8" s="35" t="s">
        <v>7</v>
      </c>
      <c r="L8" s="18"/>
      <c r="M8" s="36" t="str">
        <f aca="false">K8</f>
        <v>Quarter Ended</v>
      </c>
      <c r="N8" s="28"/>
      <c r="O8" s="35" t="s">
        <v>7</v>
      </c>
      <c r="P8" s="18"/>
      <c r="Q8" s="36" t="str">
        <f aca="false">O8</f>
        <v>Quarter Ended</v>
      </c>
      <c r="R8" s="28"/>
      <c r="S8" s="35" t="s">
        <v>8</v>
      </c>
      <c r="T8" s="18"/>
      <c r="U8" s="36" t="str">
        <f aca="false">S8</f>
        <v>Year Ended</v>
      </c>
      <c r="V8" s="31"/>
      <c r="W8" s="37"/>
      <c r="X8" s="4"/>
      <c r="Y8" s="37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="5" customFormat="true" ht="25.5" hidden="false" customHeight="false" outlineLevel="0" collapsed="false">
      <c r="A9" s="38"/>
      <c r="B9" s="38"/>
      <c r="C9" s="39" t="s">
        <v>9</v>
      </c>
      <c r="D9" s="40"/>
      <c r="E9" s="41" t="s">
        <v>9</v>
      </c>
      <c r="F9" s="28"/>
      <c r="G9" s="42" t="s">
        <v>10</v>
      </c>
      <c r="H9" s="28"/>
      <c r="I9" s="43" t="s">
        <v>10</v>
      </c>
      <c r="J9" s="28"/>
      <c r="K9" s="42" t="s">
        <v>11</v>
      </c>
      <c r="L9" s="28"/>
      <c r="M9" s="43" t="s">
        <v>11</v>
      </c>
      <c r="N9" s="28"/>
      <c r="O9" s="42" t="s">
        <v>12</v>
      </c>
      <c r="P9" s="28"/>
      <c r="Q9" s="43" t="s">
        <v>12</v>
      </c>
      <c r="R9" s="28"/>
      <c r="S9" s="42" t="s">
        <v>12</v>
      </c>
      <c r="T9" s="28"/>
      <c r="U9" s="43" t="s">
        <v>12</v>
      </c>
      <c r="V9" s="31"/>
      <c r="W9" s="44"/>
      <c r="X9" s="31"/>
      <c r="Y9" s="44"/>
    </row>
    <row r="10" customFormat="false" ht="14.25" hidden="false" customHeight="false" outlineLevel="0" collapsed="false">
      <c r="A10" s="45" t="s">
        <v>13</v>
      </c>
      <c r="B10" s="4"/>
      <c r="C10" s="46"/>
      <c r="D10" s="47"/>
      <c r="E10" s="48"/>
      <c r="G10" s="49"/>
      <c r="I10" s="50"/>
      <c r="K10" s="49"/>
      <c r="M10" s="50"/>
      <c r="O10" s="49"/>
      <c r="Q10" s="50"/>
      <c r="S10" s="49"/>
      <c r="U10" s="50"/>
      <c r="V10" s="4"/>
      <c r="W10" s="51"/>
      <c r="X10" s="4"/>
      <c r="Y10" s="51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customFormat="false" ht="14.25" hidden="false" customHeight="false" outlineLevel="0" collapsed="false">
      <c r="A11" s="4"/>
      <c r="B11" s="4" t="s">
        <v>14</v>
      </c>
      <c r="C11" s="52" t="n">
        <v>10245</v>
      </c>
      <c r="D11" s="5"/>
      <c r="E11" s="53" t="n">
        <v>10245</v>
      </c>
      <c r="G11" s="52" t="n">
        <v>10155</v>
      </c>
      <c r="H11" s="9"/>
      <c r="I11" s="53" t="n">
        <v>10155</v>
      </c>
      <c r="J11" s="54"/>
      <c r="K11" s="52" t="n">
        <v>11092</v>
      </c>
      <c r="L11" s="9"/>
      <c r="M11" s="53" t="n">
        <v>11092</v>
      </c>
      <c r="N11" s="54"/>
      <c r="O11" s="52" t="n">
        <v>11650</v>
      </c>
      <c r="P11" s="9"/>
      <c r="Q11" s="53" t="n">
        <v>11650</v>
      </c>
      <c r="R11" s="54"/>
      <c r="S11" s="52" t="n">
        <f aca="false">K11+O11+G11+C11</f>
        <v>43142</v>
      </c>
      <c r="T11" s="9"/>
      <c r="U11" s="53" t="n">
        <f aca="false">M11+Q11+E11+I11</f>
        <v>43142</v>
      </c>
      <c r="V11" s="4"/>
      <c r="W11" s="55"/>
      <c r="X11" s="4"/>
      <c r="Y11" s="5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customFormat="false" ht="14.25" hidden="false" customHeight="false" outlineLevel="0" collapsed="false">
      <c r="A12" s="4"/>
      <c r="B12" s="4" t="s">
        <v>15</v>
      </c>
      <c r="C12" s="56" t="n">
        <v>3387</v>
      </c>
      <c r="D12" s="5"/>
      <c r="E12" s="57" t="n">
        <v>3387</v>
      </c>
      <c r="G12" s="56" t="n">
        <v>3437</v>
      </c>
      <c r="H12" s="9"/>
      <c r="I12" s="57" t="n">
        <v>3437</v>
      </c>
      <c r="J12" s="54"/>
      <c r="K12" s="56" t="n">
        <v>3479</v>
      </c>
      <c r="L12" s="9"/>
      <c r="M12" s="57" t="n">
        <v>3479</v>
      </c>
      <c r="N12" s="54"/>
      <c r="O12" s="56" t="n">
        <v>3553</v>
      </c>
      <c r="P12" s="9"/>
      <c r="Q12" s="57" t="n">
        <v>3553</v>
      </c>
      <c r="R12" s="54"/>
      <c r="S12" s="56" t="n">
        <f aca="false">K12+O12+G12+C12</f>
        <v>13856</v>
      </c>
      <c r="T12" s="9"/>
      <c r="U12" s="57" t="n">
        <f aca="false">M12+Q12+I12+E12</f>
        <v>13856</v>
      </c>
      <c r="V12" s="4"/>
      <c r="W12" s="58"/>
      <c r="X12" s="4"/>
      <c r="Y12" s="5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customFormat="false" ht="14.25" hidden="false" customHeight="false" outlineLevel="0" collapsed="false">
      <c r="A13" s="4"/>
      <c r="B13" s="4" t="s">
        <v>16</v>
      </c>
      <c r="C13" s="59" t="n">
        <f aca="false">SUM(C11:C12)</f>
        <v>13632</v>
      </c>
      <c r="D13" s="5"/>
      <c r="E13" s="60" t="n">
        <f aca="false">SUM(E11:E12)</f>
        <v>13632</v>
      </c>
      <c r="G13" s="59" t="n">
        <f aca="false">SUM(G11:G12)</f>
        <v>13592</v>
      </c>
      <c r="H13" s="9"/>
      <c r="I13" s="60" t="n">
        <f aca="false">SUM(I11:I12)</f>
        <v>13592</v>
      </c>
      <c r="J13" s="54"/>
      <c r="K13" s="59" t="n">
        <f aca="false">SUM(K11:K12)</f>
        <v>14571</v>
      </c>
      <c r="L13" s="9"/>
      <c r="M13" s="60" t="n">
        <f aca="false">SUM(M11:M12)</f>
        <v>14571</v>
      </c>
      <c r="N13" s="54"/>
      <c r="O13" s="59" t="n">
        <f aca="false">SUM(O11:O12)</f>
        <v>15203</v>
      </c>
      <c r="P13" s="9"/>
      <c r="Q13" s="60" t="n">
        <f aca="false">SUM(Q11:Q12)</f>
        <v>15203</v>
      </c>
      <c r="R13" s="54"/>
      <c r="S13" s="59" t="n">
        <f aca="false">SUM(S11:S12)</f>
        <v>56998</v>
      </c>
      <c r="T13" s="9"/>
      <c r="U13" s="60" t="n">
        <f aca="false">SUM(U11:U12)</f>
        <v>56998</v>
      </c>
      <c r="V13" s="4"/>
      <c r="W13" s="58"/>
      <c r="X13" s="4"/>
      <c r="Y13" s="5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customFormat="false" ht="6" hidden="false" customHeight="true" outlineLevel="0" collapsed="false">
      <c r="A14" s="4"/>
      <c r="B14" s="4"/>
      <c r="C14" s="61"/>
      <c r="D14" s="47"/>
      <c r="E14" s="62"/>
      <c r="G14" s="59"/>
      <c r="H14" s="9"/>
      <c r="I14" s="60"/>
      <c r="J14" s="54"/>
      <c r="K14" s="59"/>
      <c r="L14" s="9"/>
      <c r="M14" s="60"/>
      <c r="N14" s="54"/>
      <c r="O14" s="59"/>
      <c r="P14" s="9"/>
      <c r="Q14" s="60"/>
      <c r="R14" s="54"/>
      <c r="S14" s="59"/>
      <c r="T14" s="9"/>
      <c r="U14" s="60"/>
      <c r="V14" s="4"/>
      <c r="W14" s="58"/>
      <c r="X14" s="4"/>
      <c r="Y14" s="5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customFormat="false" ht="14.25" hidden="false" customHeight="false" outlineLevel="0" collapsed="false">
      <c r="A15" s="45" t="s">
        <v>17</v>
      </c>
      <c r="B15" s="4"/>
      <c r="C15" s="61"/>
      <c r="D15" s="47"/>
      <c r="E15" s="62"/>
      <c r="G15" s="59"/>
      <c r="H15" s="9"/>
      <c r="I15" s="60"/>
      <c r="J15" s="54"/>
      <c r="K15" s="59"/>
      <c r="L15" s="9"/>
      <c r="M15" s="60"/>
      <c r="N15" s="54"/>
      <c r="O15" s="59"/>
      <c r="P15" s="9"/>
      <c r="Q15" s="60"/>
      <c r="R15" s="54"/>
      <c r="S15" s="59"/>
      <c r="T15" s="9"/>
      <c r="U15" s="60"/>
      <c r="V15" s="4"/>
      <c r="W15" s="58"/>
      <c r="X15" s="4"/>
      <c r="Y15" s="5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customFormat="false" ht="14.25" hidden="false" customHeight="false" outlineLevel="0" collapsed="false">
      <c r="A16" s="4"/>
      <c r="B16" s="4" t="s">
        <v>18</v>
      </c>
      <c r="C16" s="59" t="n">
        <v>4179</v>
      </c>
      <c r="D16" s="5"/>
      <c r="E16" s="60" t="n">
        <v>3993</v>
      </c>
      <c r="G16" s="63" t="n">
        <v>4038</v>
      </c>
      <c r="H16" s="9"/>
      <c r="I16" s="60" t="n">
        <v>3844</v>
      </c>
      <c r="J16" s="54"/>
      <c r="K16" s="63" t="n">
        <v>4136</v>
      </c>
      <c r="L16" s="9"/>
      <c r="M16" s="60" t="n">
        <v>3939</v>
      </c>
      <c r="N16" s="54"/>
      <c r="O16" s="63" t="n">
        <v>4237</v>
      </c>
      <c r="P16" s="9"/>
      <c r="Q16" s="60" t="n">
        <v>4024</v>
      </c>
      <c r="R16" s="54"/>
      <c r="S16" s="63" t="n">
        <f aca="false">K16+O16+G16+C16</f>
        <v>16590</v>
      </c>
      <c r="T16" s="9"/>
      <c r="U16" s="60" t="n">
        <f aca="false">M16+Q16+I16+E16</f>
        <v>15800</v>
      </c>
      <c r="V16" s="4"/>
      <c r="W16" s="58"/>
      <c r="X16" s="4"/>
      <c r="Y16" s="5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customFormat="false" ht="14.25" hidden="false" customHeight="false" outlineLevel="0" collapsed="false">
      <c r="A17" s="4"/>
      <c r="B17" s="4" t="s">
        <v>19</v>
      </c>
      <c r="C17" s="56" t="n">
        <v>1107</v>
      </c>
      <c r="D17" s="5"/>
      <c r="E17" s="57" t="n">
        <v>1057</v>
      </c>
      <c r="G17" s="56" t="n">
        <v>1127</v>
      </c>
      <c r="H17" s="9"/>
      <c r="I17" s="57" t="n">
        <v>1061</v>
      </c>
      <c r="J17" s="54"/>
      <c r="K17" s="56" t="n">
        <v>1203</v>
      </c>
      <c r="L17" s="9"/>
      <c r="M17" s="57" t="n">
        <v>1137</v>
      </c>
      <c r="N17" s="54"/>
      <c r="O17" s="56" t="n">
        <v>1218</v>
      </c>
      <c r="P17" s="9"/>
      <c r="Q17" s="57" t="n">
        <v>1155</v>
      </c>
      <c r="R17" s="54"/>
      <c r="S17" s="56" t="n">
        <f aca="false">K17+O17+G17+C17</f>
        <v>4655</v>
      </c>
      <c r="T17" s="9"/>
      <c r="U17" s="57" t="n">
        <f aca="false">M17+Q17+I17+E17</f>
        <v>4410</v>
      </c>
      <c r="V17" s="4"/>
      <c r="W17" s="58"/>
      <c r="X17" s="4"/>
      <c r="Y17" s="5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customFormat="false" ht="14.25" hidden="false" customHeight="false" outlineLevel="0" collapsed="false">
      <c r="A18" s="4"/>
      <c r="B18" s="4" t="s">
        <v>20</v>
      </c>
      <c r="C18" s="59" t="n">
        <f aca="false">SUM(C16:C17)</f>
        <v>5286</v>
      </c>
      <c r="D18" s="5"/>
      <c r="E18" s="60" t="n">
        <f aca="false">SUM(E16:E17)</f>
        <v>5050</v>
      </c>
      <c r="G18" s="59" t="n">
        <f aca="false">SUM(G16:G17)</f>
        <v>5165</v>
      </c>
      <c r="H18" s="9"/>
      <c r="I18" s="60" t="n">
        <f aca="false">SUM(I16:I17)</f>
        <v>4905</v>
      </c>
      <c r="J18" s="54"/>
      <c r="K18" s="59" t="n">
        <f aca="false">SUM(K16:K17)</f>
        <v>5339</v>
      </c>
      <c r="L18" s="9"/>
      <c r="M18" s="60" t="n">
        <f aca="false">SUM(M16:M17)</f>
        <v>5076</v>
      </c>
      <c r="N18" s="54"/>
      <c r="O18" s="59" t="n">
        <f aca="false">SUM(O16:O17)</f>
        <v>5455</v>
      </c>
      <c r="P18" s="9"/>
      <c r="Q18" s="60" t="n">
        <f aca="false">SUM(Q16:Q17)</f>
        <v>5179</v>
      </c>
      <c r="R18" s="54"/>
      <c r="S18" s="59" t="n">
        <f aca="false">SUM(S16:S17)</f>
        <v>21245</v>
      </c>
      <c r="T18" s="9"/>
      <c r="U18" s="60" t="n">
        <f aca="false">SUM(U16:U17)</f>
        <v>20210</v>
      </c>
      <c r="V18" s="4"/>
      <c r="W18" s="58"/>
      <c r="X18" s="4"/>
      <c r="Y18" s="58"/>
      <c r="Z18" s="64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customFormat="false" ht="10.5" hidden="false" customHeight="true" outlineLevel="0" collapsed="false">
      <c r="A19" s="4"/>
      <c r="B19" s="4"/>
      <c r="C19" s="61"/>
      <c r="D19" s="47"/>
      <c r="E19" s="62"/>
      <c r="G19" s="59"/>
      <c r="H19" s="9"/>
      <c r="I19" s="60"/>
      <c r="J19" s="54"/>
      <c r="K19" s="59"/>
      <c r="L19" s="9"/>
      <c r="M19" s="60"/>
      <c r="N19" s="54"/>
      <c r="O19" s="59"/>
      <c r="P19" s="9"/>
      <c r="Q19" s="60"/>
      <c r="R19" s="54"/>
      <c r="S19" s="59"/>
      <c r="T19" s="9"/>
      <c r="U19" s="60"/>
      <c r="V19" s="4"/>
      <c r="W19" s="58"/>
      <c r="X19" s="4"/>
      <c r="Y19" s="5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customFormat="false" ht="14.25" hidden="false" customHeight="false" outlineLevel="0" collapsed="false">
      <c r="A20" s="45" t="s">
        <v>21</v>
      </c>
      <c r="B20" s="4"/>
      <c r="C20" s="65" t="n">
        <f aca="false">C13-C18</f>
        <v>8346</v>
      </c>
      <c r="D20" s="5"/>
      <c r="E20" s="66" t="n">
        <f aca="false">E13-E18</f>
        <v>8582</v>
      </c>
      <c r="G20" s="65" t="n">
        <f aca="false">G13-G18</f>
        <v>8427</v>
      </c>
      <c r="H20" s="9"/>
      <c r="I20" s="66" t="n">
        <f aca="false">I13-I18</f>
        <v>8687</v>
      </c>
      <c r="J20" s="54"/>
      <c r="K20" s="65" t="n">
        <f aca="false">K13-K18</f>
        <v>9232</v>
      </c>
      <c r="L20" s="9"/>
      <c r="M20" s="66" t="n">
        <f aca="false">M13-M18</f>
        <v>9495</v>
      </c>
      <c r="N20" s="54"/>
      <c r="O20" s="65" t="n">
        <f aca="false">O13-O18</f>
        <v>9748</v>
      </c>
      <c r="P20" s="9"/>
      <c r="Q20" s="66" t="n">
        <f aca="false">Q13-Q18</f>
        <v>10024</v>
      </c>
      <c r="R20" s="54"/>
      <c r="S20" s="65" t="n">
        <f aca="false">S13-S18</f>
        <v>35753</v>
      </c>
      <c r="T20" s="9"/>
      <c r="U20" s="66" t="n">
        <f aca="false">U13-U18</f>
        <v>36788</v>
      </c>
      <c r="V20" s="4"/>
      <c r="W20" s="67"/>
      <c r="X20" s="4"/>
      <c r="Y20" s="67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customFormat="false" ht="14.25" hidden="false" customHeight="false" outlineLevel="0" collapsed="false">
      <c r="A21" s="4"/>
      <c r="B21" s="68" t="s">
        <v>22</v>
      </c>
      <c r="C21" s="69" t="n">
        <f aca="false">(C11-C16)/C11</f>
        <v>0.592093704245974</v>
      </c>
      <c r="D21" s="70"/>
      <c r="E21" s="71" t="n">
        <f aca="false">(E11-E16)/E11</f>
        <v>0.610248901903367</v>
      </c>
      <c r="G21" s="69" t="n">
        <f aca="false">(G11-G16)/G11</f>
        <v>0.602363367799114</v>
      </c>
      <c r="H21" s="72"/>
      <c r="I21" s="71" t="n">
        <f aca="false">(I11-I16)/I11</f>
        <v>0.621467257508616</v>
      </c>
      <c r="J21" s="54"/>
      <c r="K21" s="69" t="n">
        <f aca="false">(K11-K16)/K11</f>
        <v>0.627118644067797</v>
      </c>
      <c r="L21" s="72"/>
      <c r="M21" s="71" t="n">
        <f aca="false">(M11-M16)/M11</f>
        <v>0.644879192210602</v>
      </c>
      <c r="N21" s="54"/>
      <c r="O21" s="69" t="n">
        <f aca="false">(O11-O16)/O11</f>
        <v>0.636309012875536</v>
      </c>
      <c r="P21" s="72"/>
      <c r="Q21" s="71" t="n">
        <f aca="false">(Q11-Q16)/Q11</f>
        <v>0.654592274678112</v>
      </c>
      <c r="R21" s="54"/>
      <c r="S21" s="69" t="n">
        <f aca="false">(S11-S16)/S11</f>
        <v>0.615455936210653</v>
      </c>
      <c r="T21" s="72"/>
      <c r="U21" s="71" t="n">
        <f aca="false">(U11-U16)/U11</f>
        <v>0.63376755829586</v>
      </c>
      <c r="V21" s="4"/>
      <c r="W21" s="73"/>
      <c r="X21" s="74"/>
      <c r="Y21" s="73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customFormat="false" ht="14.25" hidden="false" customHeight="false" outlineLevel="0" collapsed="false">
      <c r="A22" s="4"/>
      <c r="B22" s="68" t="s">
        <v>23</v>
      </c>
      <c r="C22" s="69" t="n">
        <f aca="false">(C12-C17)/C12</f>
        <v>0.673162090345438</v>
      </c>
      <c r="D22" s="70"/>
      <c r="E22" s="71" t="n">
        <f aca="false">(E12-E17)/E12</f>
        <v>0.687924416888102</v>
      </c>
      <c r="G22" s="69" t="n">
        <f aca="false">(G12-G17)/G12</f>
        <v>0.672097759674134</v>
      </c>
      <c r="H22" s="72"/>
      <c r="I22" s="71" t="n">
        <f aca="false">(I12-I17)/I12</f>
        <v>0.691300552807681</v>
      </c>
      <c r="J22" s="54"/>
      <c r="K22" s="69" t="n">
        <f aca="false">(K12-K17)/K12</f>
        <v>0.654210980166715</v>
      </c>
      <c r="L22" s="72"/>
      <c r="M22" s="71" t="n">
        <f aca="false">(M12-M17)/M12</f>
        <v>0.673181948835872</v>
      </c>
      <c r="N22" s="54"/>
      <c r="O22" s="69" t="n">
        <f aca="false">(O12-O17)/O12</f>
        <v>0.657191106107515</v>
      </c>
      <c r="P22" s="72"/>
      <c r="Q22" s="71" t="n">
        <f aca="false">(Q12-Q17)/Q12</f>
        <v>0.674922600619195</v>
      </c>
      <c r="R22" s="54"/>
      <c r="S22" s="69" t="n">
        <f aca="false">(S12-S17)/S12</f>
        <v>0.664044457274827</v>
      </c>
      <c r="T22" s="72"/>
      <c r="U22" s="71" t="n">
        <f aca="false">(U12-U17)/U12</f>
        <v>0.681726327944573</v>
      </c>
      <c r="V22" s="4"/>
      <c r="W22" s="73"/>
      <c r="X22" s="74"/>
      <c r="Y22" s="73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customFormat="false" ht="14.25" hidden="false" customHeight="false" outlineLevel="0" collapsed="false">
      <c r="A23" s="4"/>
      <c r="B23" s="75" t="s">
        <v>24</v>
      </c>
      <c r="C23" s="69" t="n">
        <f aca="false">(C13-C18)/C13</f>
        <v>0.612235915492958</v>
      </c>
      <c r="D23" s="70"/>
      <c r="E23" s="71" t="n">
        <f aca="false">(E13-E18)/E13</f>
        <v>0.629548122065728</v>
      </c>
      <c r="G23" s="69" t="n">
        <f aca="false">(G13-G18)/G13</f>
        <v>0.619997057092407</v>
      </c>
      <c r="H23" s="72"/>
      <c r="I23" s="71" t="n">
        <f aca="false">(I13-I18)/I13</f>
        <v>0.639125956444968</v>
      </c>
      <c r="J23" s="54"/>
      <c r="K23" s="69" t="n">
        <f aca="false">(K13-K18)/K13</f>
        <v>0.633587262370462</v>
      </c>
      <c r="L23" s="72"/>
      <c r="M23" s="71" t="n">
        <f aca="false">(M13-M18)/M13</f>
        <v>0.651636812847437</v>
      </c>
      <c r="N23" s="54"/>
      <c r="O23" s="69" t="n">
        <f aca="false">(O13-O18)/O13</f>
        <v>0.641189238965994</v>
      </c>
      <c r="P23" s="72"/>
      <c r="Q23" s="71" t="n">
        <f aca="false">(Q13-Q18)/Q13</f>
        <v>0.65934355061501</v>
      </c>
      <c r="R23" s="54"/>
      <c r="S23" s="69" t="n">
        <f aca="false">(S13-S18)/S13</f>
        <v>0.627267623425383</v>
      </c>
      <c r="T23" s="72"/>
      <c r="U23" s="71" t="n">
        <f aca="false">(U13-U18)/U13</f>
        <v>0.645426155303695</v>
      </c>
      <c r="V23" s="4"/>
      <c r="W23" s="73"/>
      <c r="X23" s="74"/>
      <c r="Y23" s="73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customFormat="false" ht="6" hidden="false" customHeight="true" outlineLevel="0" collapsed="false">
      <c r="A24" s="4"/>
      <c r="B24" s="76"/>
      <c r="C24" s="77"/>
      <c r="D24" s="47"/>
      <c r="E24" s="78"/>
      <c r="G24" s="69"/>
      <c r="H24" s="9"/>
      <c r="I24" s="71"/>
      <c r="J24" s="54"/>
      <c r="K24" s="69"/>
      <c r="L24" s="9"/>
      <c r="M24" s="71"/>
      <c r="N24" s="54"/>
      <c r="O24" s="69"/>
      <c r="P24" s="9"/>
      <c r="Q24" s="71"/>
      <c r="R24" s="54"/>
      <c r="S24" s="69"/>
      <c r="T24" s="9"/>
      <c r="U24" s="71"/>
      <c r="V24" s="4"/>
      <c r="W24" s="73"/>
      <c r="X24" s="4"/>
      <c r="Y24" s="73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customFormat="false" ht="14.25" hidden="false" customHeight="false" outlineLevel="0" collapsed="false">
      <c r="A25" s="45" t="s">
        <v>25</v>
      </c>
      <c r="B25" s="4"/>
      <c r="C25" s="79"/>
      <c r="D25" s="47"/>
      <c r="E25" s="80"/>
      <c r="G25" s="65"/>
      <c r="H25" s="9"/>
      <c r="I25" s="66"/>
      <c r="J25" s="54"/>
      <c r="K25" s="65"/>
      <c r="L25" s="9"/>
      <c r="M25" s="66"/>
      <c r="N25" s="54"/>
      <c r="O25" s="65"/>
      <c r="P25" s="9"/>
      <c r="Q25" s="66"/>
      <c r="R25" s="54"/>
      <c r="S25" s="65"/>
      <c r="T25" s="9"/>
      <c r="U25" s="66"/>
      <c r="V25" s="4"/>
      <c r="W25" s="67"/>
      <c r="X25" s="4"/>
      <c r="Y25" s="67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customFormat="false" ht="14.25" hidden="false" customHeight="false" outlineLevel="0" collapsed="false">
      <c r="A26" s="4"/>
      <c r="B26" s="81" t="s">
        <v>26</v>
      </c>
      <c r="C26" s="65" t="n">
        <v>1781</v>
      </c>
      <c r="D26" s="5"/>
      <c r="E26" s="66" t="n">
        <v>1510</v>
      </c>
      <c r="G26" s="65" t="n">
        <v>1855</v>
      </c>
      <c r="H26" s="9"/>
      <c r="I26" s="66" t="n">
        <v>1548</v>
      </c>
      <c r="J26" s="54"/>
      <c r="K26" s="65" t="n">
        <v>1962</v>
      </c>
      <c r="L26" s="9"/>
      <c r="M26" s="66" t="n">
        <v>1639</v>
      </c>
      <c r="N26" s="54"/>
      <c r="O26" s="65" t="n">
        <v>1953</v>
      </c>
      <c r="P26" s="9"/>
      <c r="Q26" s="66" t="n">
        <v>1639</v>
      </c>
      <c r="R26" s="54"/>
      <c r="S26" s="65" t="n">
        <f aca="false">K26+O26+G26+C26</f>
        <v>7551</v>
      </c>
      <c r="T26" s="9"/>
      <c r="U26" s="66" t="n">
        <f aca="false">M26+Q26+I26+E26</f>
        <v>6336</v>
      </c>
      <c r="V26" s="4"/>
      <c r="W26" s="58"/>
      <c r="X26" s="4"/>
      <c r="Y26" s="67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customFormat="false" ht="14.25" hidden="false" customHeight="false" outlineLevel="0" collapsed="false">
      <c r="A27" s="4"/>
      <c r="B27" s="81" t="s">
        <v>27</v>
      </c>
      <c r="C27" s="65" t="n">
        <v>2391</v>
      </c>
      <c r="D27" s="5"/>
      <c r="E27" s="66" t="n">
        <v>2237</v>
      </c>
      <c r="G27" s="65" t="n">
        <v>2384</v>
      </c>
      <c r="H27" s="9"/>
      <c r="I27" s="66" t="n">
        <v>2216</v>
      </c>
      <c r="J27" s="54"/>
      <c r="K27" s="65" t="n">
        <v>2526</v>
      </c>
      <c r="L27" s="9"/>
      <c r="M27" s="66" t="n">
        <v>2349</v>
      </c>
      <c r="N27" s="54"/>
      <c r="O27" s="65" t="n">
        <v>2579</v>
      </c>
      <c r="P27" s="9"/>
      <c r="Q27" s="66" t="n">
        <v>2399</v>
      </c>
      <c r="R27" s="54"/>
      <c r="S27" s="65" t="n">
        <f aca="false">K27+O27+G27+C27</f>
        <v>9880</v>
      </c>
      <c r="T27" s="9"/>
      <c r="U27" s="66" t="n">
        <f aca="false">M27+Q27+I27+E27</f>
        <v>9201</v>
      </c>
      <c r="V27" s="4"/>
      <c r="W27" s="67"/>
      <c r="X27" s="4"/>
      <c r="Y27" s="67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customFormat="false" ht="14.25" hidden="false" customHeight="false" outlineLevel="0" collapsed="false">
      <c r="A28" s="4"/>
      <c r="B28" s="81" t="s">
        <v>28</v>
      </c>
      <c r="C28" s="65" t="n">
        <v>565</v>
      </c>
      <c r="D28" s="5"/>
      <c r="E28" s="66" t="n">
        <v>497</v>
      </c>
      <c r="G28" s="65" t="n">
        <v>582</v>
      </c>
      <c r="H28" s="9"/>
      <c r="I28" s="66" t="n">
        <v>509</v>
      </c>
      <c r="J28" s="54"/>
      <c r="K28" s="65" t="n">
        <v>641</v>
      </c>
      <c r="L28" s="9"/>
      <c r="M28" s="66" t="n">
        <v>566</v>
      </c>
      <c r="N28" s="54"/>
      <c r="O28" s="65" t="n">
        <v>690</v>
      </c>
      <c r="P28" s="9"/>
      <c r="Q28" s="66" t="n">
        <v>608</v>
      </c>
      <c r="R28" s="54"/>
      <c r="S28" s="65" t="n">
        <f aca="false">K28+O28+G28+C28</f>
        <v>2478</v>
      </c>
      <c r="T28" s="9"/>
      <c r="U28" s="66" t="n">
        <f aca="false">M28+Q28+I28+E28</f>
        <v>2180</v>
      </c>
      <c r="V28" s="4"/>
      <c r="W28" s="67"/>
      <c r="X28" s="4"/>
      <c r="Y28" s="67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customFormat="false" ht="14.25" hidden="false" customHeight="false" outlineLevel="0" collapsed="false">
      <c r="A29" s="4"/>
      <c r="B29" s="81" t="s">
        <v>29</v>
      </c>
      <c r="C29" s="65" t="n">
        <v>71</v>
      </c>
      <c r="D29" s="5"/>
      <c r="E29" s="60" t="n">
        <v>0</v>
      </c>
      <c r="G29" s="65" t="n">
        <v>71</v>
      </c>
      <c r="H29" s="9"/>
      <c r="I29" s="60" t="n">
        <v>0</v>
      </c>
      <c r="J29" s="54"/>
      <c r="K29" s="65" t="n">
        <v>70</v>
      </c>
      <c r="L29" s="9"/>
      <c r="M29" s="60" t="n">
        <v>0</v>
      </c>
      <c r="N29" s="54"/>
      <c r="O29" s="65" t="n">
        <v>70</v>
      </c>
      <c r="P29" s="9"/>
      <c r="Q29" s="60" t="n">
        <v>0</v>
      </c>
      <c r="R29" s="54"/>
      <c r="S29" s="65" t="n">
        <f aca="false">K29+O29+G29+C29</f>
        <v>282</v>
      </c>
      <c r="T29" s="9"/>
      <c r="U29" s="60" t="n">
        <f aca="false">M29+Q29+I29+E29</f>
        <v>0</v>
      </c>
      <c r="V29" s="4"/>
      <c r="W29" s="67"/>
      <c r="X29" s="4"/>
      <c r="Y29" s="5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customFormat="false" ht="14.25" hidden="false" customHeight="false" outlineLevel="0" collapsed="false">
      <c r="A30" s="4"/>
      <c r="B30" s="81" t="s">
        <v>30</v>
      </c>
      <c r="C30" s="82" t="n">
        <v>-2</v>
      </c>
      <c r="D30" s="5"/>
      <c r="E30" s="57" t="n">
        <v>0</v>
      </c>
      <c r="G30" s="82" t="n">
        <v>243</v>
      </c>
      <c r="H30" s="9"/>
      <c r="I30" s="57" t="n">
        <v>0</v>
      </c>
      <c r="J30" s="54"/>
      <c r="K30" s="82" t="n">
        <v>87</v>
      </c>
      <c r="L30" s="9"/>
      <c r="M30" s="57" t="n">
        <v>0</v>
      </c>
      <c r="N30" s="54"/>
      <c r="O30" s="82" t="n">
        <v>203</v>
      </c>
      <c r="P30" s="9"/>
      <c r="Q30" s="57" t="n">
        <v>0</v>
      </c>
      <c r="R30" s="54"/>
      <c r="S30" s="82" t="n">
        <f aca="false">K30+O30+G30+C30</f>
        <v>531</v>
      </c>
      <c r="T30" s="9"/>
      <c r="U30" s="57" t="n">
        <f aca="false">M30+Q30+I30+E30</f>
        <v>0</v>
      </c>
      <c r="V30" s="4"/>
      <c r="W30" s="67"/>
      <c r="X30" s="4"/>
      <c r="Y30" s="5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customFormat="false" ht="14.25" hidden="false" customHeight="false" outlineLevel="0" collapsed="false">
      <c r="A31" s="4"/>
      <c r="B31" s="83" t="s">
        <v>31</v>
      </c>
      <c r="C31" s="65" t="n">
        <f aca="false">SUM(C26:C30)</f>
        <v>4806</v>
      </c>
      <c r="D31" s="5"/>
      <c r="E31" s="66" t="n">
        <f aca="false">SUM(E26:E30)</f>
        <v>4244</v>
      </c>
      <c r="G31" s="65" t="n">
        <f aca="false">SUM(G26:G30)</f>
        <v>5135</v>
      </c>
      <c r="H31" s="9"/>
      <c r="I31" s="66" t="n">
        <f aca="false">SUM(I26:I30)</f>
        <v>4273</v>
      </c>
      <c r="J31" s="54"/>
      <c r="K31" s="65" t="n">
        <f aca="false">SUM(K26:K30)</f>
        <v>5286</v>
      </c>
      <c r="L31" s="9"/>
      <c r="M31" s="66" t="n">
        <f aca="false">SUM(M26:M30)</f>
        <v>4554</v>
      </c>
      <c r="N31" s="54"/>
      <c r="O31" s="65" t="n">
        <f aca="false">SUM(O26:O30)</f>
        <v>5495</v>
      </c>
      <c r="P31" s="9"/>
      <c r="Q31" s="66" t="n">
        <f aca="false">SUM(Q26:Q30)</f>
        <v>4646</v>
      </c>
      <c r="R31" s="54"/>
      <c r="S31" s="65" t="n">
        <f aca="false">SUM(S26:S30)</f>
        <v>20722</v>
      </c>
      <c r="T31" s="9"/>
      <c r="U31" s="66" t="n">
        <f aca="false">SUM(U26:U30)</f>
        <v>17717</v>
      </c>
      <c r="V31" s="4"/>
      <c r="W31" s="67"/>
      <c r="X31" s="4"/>
      <c r="Y31" s="67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customFormat="false" ht="14.25" hidden="false" customHeight="false" outlineLevel="0" collapsed="false">
      <c r="A32" s="4"/>
      <c r="B32" s="68" t="s">
        <v>32</v>
      </c>
      <c r="C32" s="69" t="n">
        <f aca="false">C31/C13</f>
        <v>0.352552816901408</v>
      </c>
      <c r="D32" s="70"/>
      <c r="E32" s="71" t="n">
        <f aca="false">E31/E13</f>
        <v>0.311326291079812</v>
      </c>
      <c r="G32" s="69" t="n">
        <f aca="false">G31/G13</f>
        <v>0.377795762213067</v>
      </c>
      <c r="H32" s="72"/>
      <c r="I32" s="71" t="n">
        <f aca="false">I31/I13</f>
        <v>0.314376103590347</v>
      </c>
      <c r="J32" s="54"/>
      <c r="K32" s="69" t="n">
        <f aca="false">K31/K13</f>
        <v>0.362775375746346</v>
      </c>
      <c r="L32" s="72"/>
      <c r="M32" s="71" t="n">
        <f aca="false">M31/M13</f>
        <v>0.312538604076591</v>
      </c>
      <c r="N32" s="54"/>
      <c r="O32" s="69" t="n">
        <f aca="false">O31/O13</f>
        <v>0.361441820693284</v>
      </c>
      <c r="P32" s="72"/>
      <c r="Q32" s="71" t="n">
        <f aca="false">Q31/Q13</f>
        <v>0.305597579425113</v>
      </c>
      <c r="R32" s="54"/>
      <c r="S32" s="69" t="n">
        <f aca="false">S31/S13</f>
        <v>0.363556616021615</v>
      </c>
      <c r="T32" s="72"/>
      <c r="U32" s="71" t="n">
        <f aca="false">U31/U13</f>
        <v>0.310835467911155</v>
      </c>
      <c r="V32" s="4"/>
      <c r="W32" s="73"/>
      <c r="X32" s="74"/>
      <c r="Y32" s="73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customFormat="false" ht="15" hidden="false" customHeight="true" outlineLevel="0" collapsed="false">
      <c r="A33" s="4"/>
      <c r="B33" s="4"/>
      <c r="C33" s="61"/>
      <c r="D33" s="47"/>
      <c r="E33" s="80"/>
      <c r="G33" s="59"/>
      <c r="H33" s="9"/>
      <c r="I33" s="66"/>
      <c r="J33" s="54"/>
      <c r="K33" s="59"/>
      <c r="L33" s="9"/>
      <c r="M33" s="66"/>
      <c r="N33" s="54"/>
      <c r="O33" s="59"/>
      <c r="P33" s="9"/>
      <c r="Q33" s="66"/>
      <c r="R33" s="54"/>
      <c r="S33" s="59"/>
      <c r="T33" s="9"/>
      <c r="U33" s="66"/>
      <c r="V33" s="4"/>
      <c r="W33" s="58"/>
      <c r="X33" s="4"/>
      <c r="Y33" s="67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customFormat="false" ht="14.25" hidden="false" customHeight="false" outlineLevel="0" collapsed="false">
      <c r="A34" s="8" t="s">
        <v>33</v>
      </c>
      <c r="B34" s="4"/>
      <c r="C34" s="65" t="n">
        <f aca="false">C20-C31</f>
        <v>3540</v>
      </c>
      <c r="D34" s="5"/>
      <c r="E34" s="66" t="n">
        <f aca="false">E20-E31</f>
        <v>4338</v>
      </c>
      <c r="G34" s="65" t="n">
        <f aca="false">G20-G31</f>
        <v>3292</v>
      </c>
      <c r="H34" s="9"/>
      <c r="I34" s="66" t="n">
        <f aca="false">I20-I31</f>
        <v>4414</v>
      </c>
      <c r="J34" s="54"/>
      <c r="K34" s="65" t="n">
        <f aca="false">K20-K31</f>
        <v>3946</v>
      </c>
      <c r="L34" s="9"/>
      <c r="M34" s="66" t="n">
        <f aca="false">M20-M31</f>
        <v>4941</v>
      </c>
      <c r="N34" s="54"/>
      <c r="O34" s="65" t="n">
        <f aca="false">O20-O31</f>
        <v>4253</v>
      </c>
      <c r="P34" s="9"/>
      <c r="Q34" s="66" t="n">
        <f aca="false">Q20-Q31</f>
        <v>5378</v>
      </c>
      <c r="R34" s="54"/>
      <c r="S34" s="65" t="n">
        <f aca="false">S20-S31</f>
        <v>15031</v>
      </c>
      <c r="T34" s="9"/>
      <c r="U34" s="66" t="n">
        <f aca="false">U20-U31</f>
        <v>19071</v>
      </c>
      <c r="V34" s="4"/>
      <c r="W34" s="67"/>
      <c r="X34" s="4"/>
      <c r="Y34" s="67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customFormat="false" ht="14.25" hidden="false" customHeight="false" outlineLevel="0" collapsed="false">
      <c r="A35" s="84"/>
      <c r="B35" s="68" t="s">
        <v>34</v>
      </c>
      <c r="C35" s="69" t="n">
        <f aca="false">C34/C13</f>
        <v>0.259683098591549</v>
      </c>
      <c r="D35" s="70"/>
      <c r="E35" s="71" t="n">
        <f aca="false">E34/E13</f>
        <v>0.318221830985916</v>
      </c>
      <c r="G35" s="69" t="n">
        <f aca="false">G34/G13</f>
        <v>0.242201294879341</v>
      </c>
      <c r="H35" s="72"/>
      <c r="I35" s="71" t="n">
        <f aca="false">I34/I13</f>
        <v>0.32474985285462</v>
      </c>
      <c r="J35" s="54"/>
      <c r="K35" s="69" t="n">
        <f aca="false">K34/K13</f>
        <v>0.270811886624116</v>
      </c>
      <c r="L35" s="72"/>
      <c r="M35" s="71" t="n">
        <f aca="false">M34/M13</f>
        <v>0.339098208770846</v>
      </c>
      <c r="N35" s="54"/>
      <c r="O35" s="69" t="n">
        <f aca="false">O34/O13</f>
        <v>0.279747418272709</v>
      </c>
      <c r="P35" s="72"/>
      <c r="Q35" s="71" t="n">
        <f aca="false">Q34/Q13</f>
        <v>0.353745971189897</v>
      </c>
      <c r="R35" s="54"/>
      <c r="S35" s="69" t="n">
        <f aca="false">S34/S13</f>
        <v>0.263711007403769</v>
      </c>
      <c r="T35" s="72"/>
      <c r="U35" s="71" t="n">
        <f aca="false">U34/U13</f>
        <v>0.33459068739254</v>
      </c>
      <c r="V35" s="4"/>
      <c r="W35" s="73"/>
      <c r="X35" s="74"/>
      <c r="Y35" s="73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customFormat="false" ht="6" hidden="false" customHeight="true" outlineLevel="0" collapsed="false">
      <c r="A36" s="4"/>
      <c r="B36" s="4"/>
      <c r="C36" s="79"/>
      <c r="D36" s="47"/>
      <c r="E36" s="80"/>
      <c r="G36" s="79"/>
      <c r="H36" s="54"/>
      <c r="I36" s="80"/>
      <c r="J36" s="54"/>
      <c r="K36" s="79"/>
      <c r="L36" s="54"/>
      <c r="M36" s="80"/>
      <c r="N36" s="54"/>
      <c r="O36" s="79"/>
      <c r="P36" s="54"/>
      <c r="Q36" s="80"/>
      <c r="R36" s="54"/>
      <c r="S36" s="79"/>
      <c r="T36" s="54"/>
      <c r="U36" s="80"/>
      <c r="V36" s="4"/>
      <c r="W36" s="67"/>
      <c r="X36" s="4"/>
      <c r="Y36" s="67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customFormat="false" ht="13.8" hidden="false" customHeight="false" outlineLevel="0" collapsed="false">
      <c r="A37" s="81" t="s">
        <v>35</v>
      </c>
      <c r="B37" s="4"/>
      <c r="C37" s="65" t="n">
        <v>169</v>
      </c>
      <c r="D37" s="5"/>
      <c r="E37" s="66" t="n">
        <v>169</v>
      </c>
      <c r="G37" s="65" t="n">
        <v>219</v>
      </c>
      <c r="H37" s="9"/>
      <c r="I37" s="66" t="n">
        <v>219</v>
      </c>
      <c r="J37" s="9"/>
      <c r="K37" s="85" t="n">
        <v>262</v>
      </c>
      <c r="L37" s="9"/>
      <c r="M37" s="86" t="n">
        <v>262</v>
      </c>
      <c r="N37" s="9"/>
      <c r="O37" s="85" t="n">
        <v>312</v>
      </c>
      <c r="P37" s="9"/>
      <c r="Q37" s="86" t="n">
        <v>312</v>
      </c>
      <c r="R37" s="9"/>
      <c r="S37" s="85" t="n">
        <f aca="false">K37+O37+G37+C37</f>
        <v>962</v>
      </c>
      <c r="T37" s="9"/>
      <c r="U37" s="86" t="n">
        <f aca="false">M37+Q37+I37+E37</f>
        <v>962</v>
      </c>
      <c r="V37" s="4"/>
      <c r="W37" s="67"/>
      <c r="X37" s="4"/>
      <c r="Y37" s="67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customFormat="false" ht="13.8" hidden="false" customHeight="false" outlineLevel="0" collapsed="false">
      <c r="A38" s="81" t="s">
        <v>36</v>
      </c>
      <c r="B38" s="4"/>
      <c r="C38" s="65" t="n">
        <v>-100</v>
      </c>
      <c r="D38" s="5"/>
      <c r="E38" s="66" t="n">
        <v>-100</v>
      </c>
      <c r="G38" s="65" t="n">
        <v>-107</v>
      </c>
      <c r="H38" s="9"/>
      <c r="I38" s="66" t="n">
        <v>-107</v>
      </c>
      <c r="J38" s="9"/>
      <c r="K38" s="85" t="n">
        <v>-109</v>
      </c>
      <c r="L38" s="9"/>
      <c r="M38" s="86" t="n">
        <v>-109</v>
      </c>
      <c r="N38" s="9"/>
      <c r="O38" s="85" t="n">
        <v>-111</v>
      </c>
      <c r="P38" s="9"/>
      <c r="Q38" s="86" t="n">
        <v>-111</v>
      </c>
      <c r="R38" s="9"/>
      <c r="S38" s="85" t="n">
        <f aca="false">K38+O38+G38+C38</f>
        <v>-427</v>
      </c>
      <c r="T38" s="9"/>
      <c r="U38" s="86" t="n">
        <f aca="false">M38+Q38+I38+E38</f>
        <v>-427</v>
      </c>
      <c r="V38" s="4"/>
      <c r="W38" s="67"/>
      <c r="X38" s="4"/>
      <c r="Y38" s="67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customFormat="false" ht="14.25" hidden="false" customHeight="false" outlineLevel="0" collapsed="false">
      <c r="A39" s="4" t="s">
        <v>37</v>
      </c>
      <c r="B39" s="4"/>
      <c r="C39" s="82" t="n">
        <v>-134</v>
      </c>
      <c r="D39" s="5"/>
      <c r="E39" s="87" t="n">
        <v>-25</v>
      </c>
      <c r="G39" s="82" t="n">
        <v>11</v>
      </c>
      <c r="H39" s="9"/>
      <c r="I39" s="87" t="n">
        <v>-33</v>
      </c>
      <c r="J39" s="54"/>
      <c r="K39" s="88" t="n">
        <v>-142</v>
      </c>
      <c r="L39" s="9"/>
      <c r="M39" s="89" t="n">
        <v>-19</v>
      </c>
      <c r="N39" s="54"/>
      <c r="O39" s="88" t="n">
        <v>17</v>
      </c>
      <c r="P39" s="9"/>
      <c r="Q39" s="89" t="n">
        <v>-38</v>
      </c>
      <c r="R39" s="54"/>
      <c r="S39" s="88" t="n">
        <f aca="false">K39+O39+G39+C39</f>
        <v>-248</v>
      </c>
      <c r="T39" s="9"/>
      <c r="U39" s="89" t="n">
        <f aca="false">Q39+M39+I39+E39</f>
        <v>-115</v>
      </c>
      <c r="V39" s="4"/>
      <c r="W39" s="67"/>
      <c r="X39" s="4"/>
      <c r="Y39" s="67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customFormat="false" ht="14.25" hidden="false" customHeight="false" outlineLevel="0" collapsed="false">
      <c r="A40" s="4"/>
      <c r="B40" s="4" t="s">
        <v>38</v>
      </c>
      <c r="C40" s="65" t="n">
        <f aca="false">SUM(C37:C39)</f>
        <v>-65</v>
      </c>
      <c r="D40" s="5"/>
      <c r="E40" s="66" t="n">
        <f aca="false">SUM(E37:E39)</f>
        <v>44</v>
      </c>
      <c r="G40" s="65" t="n">
        <f aca="false">SUM(G37:G39)</f>
        <v>123</v>
      </c>
      <c r="H40" s="9"/>
      <c r="I40" s="66" t="n">
        <f aca="false">SUM(I37:I39)</f>
        <v>79</v>
      </c>
      <c r="J40" s="9"/>
      <c r="K40" s="65" t="n">
        <f aca="false">SUM(K37:K39)</f>
        <v>11</v>
      </c>
      <c r="L40" s="9"/>
      <c r="M40" s="66" t="n">
        <f aca="false">SUM(M37:M39)</f>
        <v>134</v>
      </c>
      <c r="N40" s="9"/>
      <c r="O40" s="65" t="n">
        <f aca="false">SUM(O37:O39)</f>
        <v>218</v>
      </c>
      <c r="P40" s="9"/>
      <c r="Q40" s="66" t="n">
        <f aca="false">SUM(Q37:Q39)</f>
        <v>163</v>
      </c>
      <c r="R40" s="9"/>
      <c r="S40" s="65" t="n">
        <f aca="false">SUM(S37:S39)</f>
        <v>287</v>
      </c>
      <c r="T40" s="9"/>
      <c r="U40" s="66" t="n">
        <f aca="false">SUM(U37:U39)</f>
        <v>420</v>
      </c>
      <c r="V40" s="4"/>
      <c r="W40" s="67"/>
      <c r="X40" s="4"/>
      <c r="Y40" s="67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customFormat="false" ht="10.5" hidden="false" customHeight="true" outlineLevel="0" collapsed="false">
      <c r="A41" s="4"/>
      <c r="B41" s="4"/>
      <c r="C41" s="61"/>
      <c r="D41" s="47"/>
      <c r="E41" s="62"/>
      <c r="G41" s="63"/>
      <c r="H41" s="9"/>
      <c r="I41" s="90"/>
      <c r="J41" s="54"/>
      <c r="K41" s="63"/>
      <c r="L41" s="9"/>
      <c r="M41" s="90"/>
      <c r="N41" s="54"/>
      <c r="O41" s="63"/>
      <c r="P41" s="9"/>
      <c r="Q41" s="90"/>
      <c r="R41" s="54"/>
      <c r="S41" s="63"/>
      <c r="T41" s="9"/>
      <c r="U41" s="90"/>
      <c r="V41" s="4"/>
      <c r="W41" s="58"/>
      <c r="X41" s="4"/>
      <c r="Y41" s="58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customFormat="false" ht="26.25" hidden="false" customHeight="true" outlineLevel="0" collapsed="false">
      <c r="A42" s="91" t="s">
        <v>39</v>
      </c>
      <c r="B42" s="91"/>
      <c r="C42" s="65" t="n">
        <f aca="false">C34+C40</f>
        <v>3475</v>
      </c>
      <c r="D42" s="5"/>
      <c r="E42" s="66" t="n">
        <f aca="false">E34+E40</f>
        <v>4382</v>
      </c>
      <c r="G42" s="85" t="n">
        <f aca="false">G34+G40</f>
        <v>3415</v>
      </c>
      <c r="H42" s="9"/>
      <c r="I42" s="86" t="n">
        <f aca="false">I34+I40</f>
        <v>4493</v>
      </c>
      <c r="J42" s="9"/>
      <c r="K42" s="85" t="n">
        <f aca="false">K34+K40</f>
        <v>3957</v>
      </c>
      <c r="L42" s="9"/>
      <c r="M42" s="86" t="n">
        <f aca="false">M34+M40</f>
        <v>5075</v>
      </c>
      <c r="N42" s="9"/>
      <c r="O42" s="85" t="n">
        <f aca="false">O34+O40</f>
        <v>4471</v>
      </c>
      <c r="P42" s="9"/>
      <c r="Q42" s="86" t="n">
        <f aca="false">Q34+Q40</f>
        <v>5541</v>
      </c>
      <c r="R42" s="9"/>
      <c r="S42" s="85" t="n">
        <f aca="false">S34+S40</f>
        <v>15318</v>
      </c>
      <c r="T42" s="9"/>
      <c r="U42" s="86" t="n">
        <f aca="false">U34+U40</f>
        <v>19491</v>
      </c>
      <c r="V42" s="4"/>
      <c r="W42" s="67"/>
      <c r="X42" s="4"/>
      <c r="Y42" s="67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customFormat="false" ht="10.5" hidden="false" customHeight="true" outlineLevel="0" collapsed="false">
      <c r="A43" s="4"/>
      <c r="B43" s="4"/>
      <c r="C43" s="59"/>
      <c r="D43" s="5"/>
      <c r="E43" s="60"/>
      <c r="G43" s="61"/>
      <c r="H43" s="54"/>
      <c r="I43" s="62"/>
      <c r="J43" s="54"/>
      <c r="K43" s="61"/>
      <c r="L43" s="54"/>
      <c r="M43" s="62"/>
      <c r="N43" s="54"/>
      <c r="O43" s="61"/>
      <c r="P43" s="54"/>
      <c r="Q43" s="62"/>
      <c r="R43" s="54"/>
      <c r="S43" s="61"/>
      <c r="T43" s="54"/>
      <c r="U43" s="62"/>
      <c r="V43" s="4"/>
      <c r="W43" s="58"/>
      <c r="X43" s="4"/>
      <c r="Y43" s="58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customFormat="false" ht="13.8" hidden="false" customHeight="false" outlineLevel="0" collapsed="false">
      <c r="A44" s="92" t="s">
        <v>40</v>
      </c>
      <c r="B44" s="4"/>
      <c r="C44" s="82" t="n">
        <v>805</v>
      </c>
      <c r="D44" s="5"/>
      <c r="E44" s="87" t="n">
        <v>833</v>
      </c>
      <c r="G44" s="82" t="n">
        <v>642</v>
      </c>
      <c r="H44" s="9"/>
      <c r="I44" s="87" t="n">
        <v>854</v>
      </c>
      <c r="J44" s="54"/>
      <c r="K44" s="82" t="n">
        <v>745</v>
      </c>
      <c r="L44" s="9"/>
      <c r="M44" s="87" t="n">
        <v>964</v>
      </c>
      <c r="N44" s="54"/>
      <c r="O44" s="88" t="n">
        <v>513</v>
      </c>
      <c r="P44" s="9"/>
      <c r="Q44" s="89" t="n">
        <v>861</v>
      </c>
      <c r="R44" s="54"/>
      <c r="S44" s="82" t="n">
        <f aca="false">K44+O44+G44+C44</f>
        <v>2705</v>
      </c>
      <c r="T44" s="9"/>
      <c r="U44" s="87" t="n">
        <f aca="false">M44+Q44+I44+E44</f>
        <v>3512</v>
      </c>
      <c r="V44" s="4"/>
      <c r="W44" s="67"/>
      <c r="X44" s="4"/>
      <c r="Y44" s="67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customFormat="false" ht="10.5" hidden="false" customHeight="true" outlineLevel="0" collapsed="false">
      <c r="A45" s="4"/>
      <c r="B45" s="4"/>
      <c r="C45" s="49"/>
      <c r="D45" s="5"/>
      <c r="E45" s="50"/>
      <c r="G45" s="49"/>
      <c r="H45" s="9"/>
      <c r="I45" s="50"/>
      <c r="J45" s="54"/>
      <c r="K45" s="49"/>
      <c r="L45" s="9"/>
      <c r="M45" s="50"/>
      <c r="N45" s="54"/>
      <c r="O45" s="49"/>
      <c r="P45" s="9"/>
      <c r="Q45" s="50"/>
      <c r="R45" s="54"/>
      <c r="S45" s="49"/>
      <c r="T45" s="9"/>
      <c r="U45" s="50"/>
      <c r="V45" s="4"/>
      <c r="W45" s="51"/>
      <c r="X45" s="4"/>
      <c r="Y45" s="51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customFormat="false" ht="15" hidden="false" customHeight="true" outlineLevel="0" collapsed="false">
      <c r="A46" s="84" t="s">
        <v>41</v>
      </c>
      <c r="B46" s="4"/>
      <c r="C46" s="93" t="n">
        <v>2670</v>
      </c>
      <c r="D46" s="5"/>
      <c r="E46" s="94" t="n">
        <f aca="false">E42-E44</f>
        <v>3549</v>
      </c>
      <c r="G46" s="93" t="n">
        <f aca="false">G42-G44</f>
        <v>2773</v>
      </c>
      <c r="H46" s="9"/>
      <c r="I46" s="94" t="n">
        <f aca="false">I42-I44</f>
        <v>3639</v>
      </c>
      <c r="J46" s="54"/>
      <c r="K46" s="95" t="n">
        <f aca="false">K42-K44</f>
        <v>3212</v>
      </c>
      <c r="L46" s="96"/>
      <c r="M46" s="97" t="n">
        <f aca="false">M42-M44</f>
        <v>4111</v>
      </c>
      <c r="N46" s="54"/>
      <c r="O46" s="95" t="n">
        <f aca="false">O42-O44</f>
        <v>3958</v>
      </c>
      <c r="P46" s="96"/>
      <c r="Q46" s="97" t="n">
        <f aca="false">Q42-Q44</f>
        <v>4680</v>
      </c>
      <c r="R46" s="54"/>
      <c r="S46" s="95" t="n">
        <f aca="false">S42-S44</f>
        <v>12613</v>
      </c>
      <c r="T46" s="96"/>
      <c r="U46" s="97" t="n">
        <f aca="false">U42-U44</f>
        <v>15979</v>
      </c>
      <c r="V46" s="4"/>
      <c r="W46" s="55"/>
      <c r="X46" s="4"/>
      <c r="Y46" s="5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customFormat="false" ht="10.5" hidden="false" customHeight="true" outlineLevel="0" collapsed="false">
      <c r="A47" s="5"/>
      <c r="B47" s="5"/>
      <c r="C47" s="98"/>
      <c r="D47" s="47"/>
      <c r="E47" s="99"/>
      <c r="G47" s="98"/>
      <c r="H47" s="54"/>
      <c r="I47" s="99"/>
      <c r="J47" s="54"/>
      <c r="K47" s="100"/>
      <c r="L47" s="96"/>
      <c r="M47" s="101"/>
      <c r="N47" s="54"/>
      <c r="O47" s="100"/>
      <c r="P47" s="96"/>
      <c r="Q47" s="101"/>
      <c r="R47" s="54"/>
      <c r="S47" s="100"/>
      <c r="T47" s="96"/>
      <c r="U47" s="101"/>
      <c r="V47" s="4"/>
      <c r="W47" s="51"/>
      <c r="X47" s="4"/>
      <c r="Y47" s="5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customFormat="false" ht="13.8" hidden="false" customHeight="false" outlineLevel="0" collapsed="false">
      <c r="A48" s="102" t="s">
        <v>42</v>
      </c>
      <c r="B48" s="5"/>
      <c r="C48" s="103"/>
      <c r="D48" s="47"/>
      <c r="E48" s="104"/>
      <c r="G48" s="103"/>
      <c r="H48" s="54"/>
      <c r="I48" s="104"/>
      <c r="J48" s="54"/>
      <c r="K48" s="105"/>
      <c r="L48" s="96"/>
      <c r="M48" s="106"/>
      <c r="N48" s="54"/>
      <c r="O48" s="105"/>
      <c r="P48" s="96"/>
      <c r="Q48" s="106"/>
      <c r="R48" s="54"/>
      <c r="S48" s="105"/>
      <c r="T48" s="96"/>
      <c r="U48" s="106"/>
      <c r="V48" s="4"/>
      <c r="W48" s="107"/>
      <c r="X48" s="4"/>
      <c r="Y48" s="107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customFormat="false" ht="13.8" hidden="false" customHeight="false" outlineLevel="0" collapsed="false">
      <c r="A49" s="102" t="s">
        <v>43</v>
      </c>
      <c r="B49" s="5"/>
      <c r="C49" s="108" t="n">
        <f aca="false">IFERROR(C46/C54," ")</f>
        <v>0.649951314508277</v>
      </c>
      <c r="D49" s="5"/>
      <c r="E49" s="109" t="str">
        <f aca="false">IFERROR(E46/E54," ")</f>
        <v> </v>
      </c>
      <c r="G49" s="108" t="n">
        <f aca="false">IFERROR(G46/G54," ")</f>
        <v>0.675846941262491</v>
      </c>
      <c r="H49" s="9"/>
      <c r="I49" s="109" t="str">
        <f aca="false">IFERROR(I46/I54," ")</f>
        <v> </v>
      </c>
      <c r="J49" s="54"/>
      <c r="K49" s="108" t="n">
        <f aca="false">IFERROR(K46/K54," ")</f>
        <v>0.785522132550746</v>
      </c>
      <c r="L49" s="96"/>
      <c r="M49" s="110" t="str">
        <f aca="false">IFERROR(M46/M54," ")</f>
        <v> </v>
      </c>
      <c r="N49" s="54"/>
      <c r="O49" s="108" t="n">
        <f aca="false">IFERROR(O46/O54," ")</f>
        <v>0.972242692213216</v>
      </c>
      <c r="P49" s="96"/>
      <c r="Q49" s="110" t="str">
        <f aca="false">IFERROR(Q46/Q54," ")</f>
        <v> </v>
      </c>
      <c r="R49" s="54"/>
      <c r="S49" s="108" t="n">
        <f aca="false">IFERROR(S46/S54," ")</f>
        <v>3.08160273637918</v>
      </c>
      <c r="T49" s="96"/>
      <c r="U49" s="110" t="str">
        <f aca="false">IFERROR(U46/U54," ")</f>
        <v> </v>
      </c>
      <c r="V49" s="4"/>
      <c r="W49" s="111"/>
      <c r="X49" s="4"/>
      <c r="Y49" s="111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customFormat="false" ht="5.25" hidden="false" customHeight="true" outlineLevel="0" collapsed="false">
      <c r="A50" s="5"/>
      <c r="B50" s="5"/>
      <c r="C50" s="112"/>
      <c r="D50" s="5"/>
      <c r="E50" s="113"/>
      <c r="G50" s="112"/>
      <c r="H50" s="9"/>
      <c r="I50" s="113"/>
      <c r="J50" s="54"/>
      <c r="K50" s="114"/>
      <c r="L50" s="96"/>
      <c r="M50" s="115"/>
      <c r="N50" s="54"/>
      <c r="O50" s="114"/>
      <c r="P50" s="96"/>
      <c r="Q50" s="115"/>
      <c r="R50" s="54"/>
      <c r="S50" s="114"/>
      <c r="T50" s="96"/>
      <c r="U50" s="115"/>
      <c r="V50" s="4"/>
      <c r="W50" s="111"/>
      <c r="X50" s="4"/>
      <c r="Y50" s="111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customFormat="false" ht="13.8" hidden="false" customHeight="false" outlineLevel="0" collapsed="false">
      <c r="A51" s="102" t="s">
        <v>44</v>
      </c>
      <c r="B51" s="5"/>
      <c r="C51" s="108" t="n">
        <f aca="false">IFERROR(C46/C56," ")</f>
        <v>0.64868804664723</v>
      </c>
      <c r="D51" s="5"/>
      <c r="E51" s="116" t="n">
        <f aca="false">IFERROR(E46/E56," ")</f>
        <v>0.862244897959184</v>
      </c>
      <c r="G51" s="108" t="n">
        <f aca="false">IFERROR(G46/G56," ")</f>
        <v>0.673712342079689</v>
      </c>
      <c r="H51" s="9"/>
      <c r="I51" s="116" t="n">
        <f aca="false">IFERROR(I46/I56," ")</f>
        <v>0.884110787172012</v>
      </c>
      <c r="J51" s="54"/>
      <c r="K51" s="117" t="n">
        <f aca="false">IFERROR(K46/K56," ")</f>
        <v>0.781508515815085</v>
      </c>
      <c r="L51" s="96"/>
      <c r="M51" s="118" t="n">
        <f aca="false">IFERROR(M46/M56," ")</f>
        <v>1.00024330900243</v>
      </c>
      <c r="N51" s="54"/>
      <c r="O51" s="117" t="n">
        <f aca="false">IFERROR(O46/O56," ")</f>
        <v>0.96701685805033</v>
      </c>
      <c r="P51" s="96"/>
      <c r="Q51" s="118" t="n">
        <f aca="false">IFERROR(Q46/Q56," ")</f>
        <v>1.14341558758857</v>
      </c>
      <c r="R51" s="54"/>
      <c r="S51" s="117" t="n">
        <f aca="false">IFERROR(S46/S56," ")</f>
        <v>3.07259439707674</v>
      </c>
      <c r="T51" s="96"/>
      <c r="U51" s="118" t="n">
        <f aca="false">IFERROR(U46/U56," ")</f>
        <v>3.8925700365408</v>
      </c>
      <c r="V51" s="4"/>
      <c r="W51" s="111"/>
      <c r="X51" s="4"/>
      <c r="Y51" s="111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customFormat="false" ht="14.25" hidden="false" customHeight="false" outlineLevel="0" collapsed="false">
      <c r="A52" s="5"/>
      <c r="B52" s="5"/>
      <c r="C52" s="98"/>
      <c r="D52" s="47"/>
      <c r="E52" s="119"/>
      <c r="G52" s="98"/>
      <c r="H52" s="54"/>
      <c r="I52" s="119"/>
      <c r="J52" s="54"/>
      <c r="K52" s="100"/>
      <c r="L52" s="96"/>
      <c r="M52" s="120"/>
      <c r="N52" s="54"/>
      <c r="O52" s="100"/>
      <c r="P52" s="96"/>
      <c r="Q52" s="120"/>
      <c r="R52" s="54"/>
      <c r="S52" s="100"/>
      <c r="T52" s="96"/>
      <c r="U52" s="120"/>
      <c r="V52" s="4"/>
      <c r="W52" s="51"/>
      <c r="X52" s="4"/>
      <c r="Y52" s="51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customFormat="false" ht="14.25" hidden="false" customHeight="false" outlineLevel="0" collapsed="false">
      <c r="A53" s="102" t="s">
        <v>45</v>
      </c>
      <c r="B53" s="5"/>
      <c r="C53" s="103"/>
      <c r="D53" s="47"/>
      <c r="E53" s="104"/>
      <c r="G53" s="103"/>
      <c r="H53" s="54"/>
      <c r="I53" s="104"/>
      <c r="J53" s="54"/>
      <c r="K53" s="105"/>
      <c r="L53" s="96"/>
      <c r="M53" s="106"/>
      <c r="N53" s="54"/>
      <c r="O53" s="105"/>
      <c r="P53" s="96"/>
      <c r="Q53" s="106"/>
      <c r="R53" s="54"/>
      <c r="S53" s="105"/>
      <c r="T53" s="96"/>
      <c r="U53" s="106"/>
      <c r="V53" s="4"/>
      <c r="W53" s="107"/>
      <c r="X53" s="4"/>
      <c r="Y53" s="107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customFormat="false" ht="14.25" hidden="false" customHeight="false" outlineLevel="0" collapsed="false">
      <c r="A54" s="102" t="s">
        <v>46</v>
      </c>
      <c r="B54" s="5"/>
      <c r="C54" s="121" t="n">
        <v>4108</v>
      </c>
      <c r="D54" s="47"/>
      <c r="E54" s="122"/>
      <c r="G54" s="121" t="n">
        <v>4103</v>
      </c>
      <c r="H54" s="54"/>
      <c r="I54" s="122"/>
      <c r="J54" s="54"/>
      <c r="K54" s="121" t="n">
        <v>4089</v>
      </c>
      <c r="L54" s="96"/>
      <c r="M54" s="110"/>
      <c r="N54" s="54"/>
      <c r="O54" s="121" t="n">
        <v>4071</v>
      </c>
      <c r="P54" s="96"/>
      <c r="Q54" s="110"/>
      <c r="R54" s="54"/>
      <c r="S54" s="121" t="n">
        <v>4093</v>
      </c>
      <c r="T54" s="96"/>
      <c r="U54" s="110"/>
      <c r="V54" s="4"/>
      <c r="W54" s="107"/>
      <c r="X54" s="4"/>
      <c r="Y54" s="111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customFormat="false" ht="13.8" hidden="false" customHeight="false" outlineLevel="0" collapsed="false">
      <c r="A55" s="5"/>
      <c r="B55" s="5"/>
      <c r="C55" s="98"/>
      <c r="D55" s="47"/>
      <c r="E55" s="119"/>
      <c r="G55" s="98"/>
      <c r="H55" s="54"/>
      <c r="I55" s="119"/>
      <c r="J55" s="54"/>
      <c r="K55" s="100"/>
      <c r="L55" s="96"/>
      <c r="M55" s="120"/>
      <c r="N55" s="54"/>
      <c r="O55" s="100"/>
      <c r="P55" s="96"/>
      <c r="Q55" s="120"/>
      <c r="R55" s="54"/>
      <c r="S55" s="100"/>
      <c r="T55" s="96"/>
      <c r="U55" s="120"/>
      <c r="V55" s="4"/>
      <c r="W55" s="51"/>
      <c r="X55" s="4"/>
      <c r="Y55" s="51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customFormat="false" ht="14.25" hidden="false" customHeight="false" outlineLevel="0" collapsed="false">
      <c r="A56" s="102" t="s">
        <v>47</v>
      </c>
      <c r="B56" s="5"/>
      <c r="C56" s="121" t="n">
        <v>4116</v>
      </c>
      <c r="D56" s="5"/>
      <c r="E56" s="123" t="n">
        <f aca="false">C56</f>
        <v>4116</v>
      </c>
      <c r="G56" s="121" t="n">
        <v>4116</v>
      </c>
      <c r="H56" s="9"/>
      <c r="I56" s="123" t="n">
        <f aca="false">G56</f>
        <v>4116</v>
      </c>
      <c r="J56" s="54"/>
      <c r="K56" s="124" t="n">
        <v>4110</v>
      </c>
      <c r="L56" s="96"/>
      <c r="M56" s="125" t="n">
        <f aca="false">K56</f>
        <v>4110</v>
      </c>
      <c r="N56" s="54"/>
      <c r="O56" s="124" t="n">
        <v>4093</v>
      </c>
      <c r="P56" s="96"/>
      <c r="Q56" s="125" t="n">
        <f aca="false">O56</f>
        <v>4093</v>
      </c>
      <c r="R56" s="54"/>
      <c r="S56" s="124" t="n">
        <v>4105</v>
      </c>
      <c r="T56" s="96"/>
      <c r="U56" s="125" t="n">
        <f aca="false">S56</f>
        <v>4105</v>
      </c>
      <c r="V56" s="4"/>
      <c r="W56" s="107"/>
      <c r="X56" s="4"/>
      <c r="Y56" s="107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customFormat="false" ht="17.25" hidden="false" customHeight="true" outlineLevel="0" collapsed="false">
      <c r="A57" s="81" t="s">
        <v>48</v>
      </c>
      <c r="B57" s="4"/>
      <c r="C57" s="126" t="n">
        <v>0.38</v>
      </c>
      <c r="D57" s="127"/>
      <c r="E57" s="128"/>
      <c r="G57" s="126" t="n">
        <v>0.38</v>
      </c>
      <c r="H57" s="129"/>
      <c r="I57" s="128"/>
      <c r="J57" s="54"/>
      <c r="K57" s="108" t="n">
        <v>0.39</v>
      </c>
      <c r="L57" s="130"/>
      <c r="M57" s="131"/>
      <c r="N57" s="54"/>
      <c r="O57" s="108" t="n">
        <v>0.39</v>
      </c>
      <c r="P57" s="130"/>
      <c r="Q57" s="131"/>
      <c r="R57" s="54"/>
      <c r="S57" s="108" t="n">
        <f aca="false">K57+O57+G57+C57</f>
        <v>1.54</v>
      </c>
      <c r="T57" s="130"/>
      <c r="U57" s="131"/>
      <c r="V57" s="4"/>
      <c r="W57" s="111"/>
      <c r="X57" s="132"/>
      <c r="Y57" s="133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customFormat="false" ht="14.25" hidden="false" customHeight="false" outlineLevel="0" collapsed="false">
      <c r="A58" s="134"/>
      <c r="B58" s="5"/>
      <c r="C58" s="135"/>
      <c r="D58" s="136"/>
      <c r="E58" s="5"/>
      <c r="F58" s="136"/>
      <c r="G58" s="5"/>
      <c r="H58" s="136"/>
      <c r="I58" s="5"/>
      <c r="J58" s="136"/>
      <c r="K58" s="5"/>
      <c r="L58" s="136"/>
      <c r="M58" s="5"/>
      <c r="N58" s="136"/>
      <c r="O58" s="5"/>
      <c r="P58" s="136"/>
      <c r="Q58" s="5"/>
      <c r="R58" s="136"/>
      <c r="S58" s="5"/>
      <c r="T58" s="136"/>
      <c r="U58" s="5"/>
      <c r="V58" s="136"/>
      <c r="W58" s="5"/>
      <c r="X58" s="136"/>
      <c r="Y58" s="5"/>
      <c r="Z58" s="5"/>
      <c r="AA58" s="137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customFormat="false" ht="52.5" hidden="false" customHeight="true" outlineLevel="0" collapsed="false">
      <c r="A59" s="138" t="s">
        <v>49</v>
      </c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9"/>
      <c r="S59" s="139"/>
      <c r="T59" s="139"/>
      <c r="U59" s="139"/>
      <c r="V59" s="139"/>
      <c r="W59" s="139"/>
      <c r="X59" s="139"/>
      <c r="Y59" s="139"/>
      <c r="Z59" s="140"/>
      <c r="AA59" s="140"/>
      <c r="AB59" s="140"/>
      <c r="AC59" s="140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customFormat="false" ht="24.75" hidden="false" customHeight="true" outlineLevel="0" collapsed="false">
      <c r="A60" s="138"/>
      <c r="B60" s="138"/>
      <c r="C60" s="138"/>
      <c r="D60" s="138"/>
      <c r="E60" s="138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39"/>
      <c r="W60" s="139"/>
      <c r="X60" s="139"/>
      <c r="Y60" s="139"/>
      <c r="Z60" s="140"/>
      <c r="AA60" s="140"/>
      <c r="AB60" s="140"/>
      <c r="AC60" s="140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customFormat="false" ht="14.25" hidden="false" customHeight="false" outlineLevel="0" collapsed="false">
      <c r="A61" s="139"/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42"/>
      <c r="AA61" s="5"/>
      <c r="AB61" s="142"/>
      <c r="AC61" s="142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customFormat="false" ht="14.2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4" customFormat="false" ht="14.25" hidden="false" customHeight="false" outlineLevel="0" collapsed="false">
      <c r="A64" s="5"/>
      <c r="B64" s="5"/>
      <c r="C64" s="5"/>
      <c r="D64" s="5"/>
      <c r="E64" s="64"/>
      <c r="F64" s="5"/>
      <c r="G64" s="5"/>
      <c r="H64" s="5"/>
      <c r="I64" s="64"/>
      <c r="J64" s="5"/>
      <c r="K64" s="5"/>
      <c r="L64" s="5"/>
      <c r="M64" s="64"/>
      <c r="N64" s="5"/>
      <c r="O64" s="5"/>
      <c r="P64" s="5"/>
      <c r="Q64" s="64"/>
      <c r="R64" s="5"/>
      <c r="S64" s="5"/>
      <c r="T64" s="5"/>
      <c r="U64" s="64"/>
      <c r="V64" s="5"/>
      <c r="W64" s="5"/>
      <c r="X64" s="5"/>
      <c r="Y64" s="64"/>
      <c r="Z64" s="64"/>
      <c r="AA64" s="5"/>
      <c r="AB64" s="5"/>
      <c r="AC64" s="64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70" customFormat="false" ht="12" hidden="false" customHeight="true" outlineLevel="0" collapsed="false"/>
    <row r="71" customFormat="false" ht="3" hidden="true" customHeight="true" outlineLevel="0" collapsed="false"/>
    <row r="72" customFormat="false" ht="14.25" hidden="true" customHeight="false" outlineLevel="0" collapsed="false"/>
    <row r="73" customFormat="false" ht="14.25" hidden="true" customHeight="false" outlineLevel="0" collapsed="false"/>
    <row r="74" customFormat="false" ht="14.25" hidden="true" customHeight="false" outlineLevel="0" collapsed="false"/>
    <row r="75" customFormat="false" ht="14.25" hidden="true" customHeight="false" outlineLevel="0" collapsed="false"/>
  </sheetData>
  <mergeCells count="8">
    <mergeCell ref="A5:B5"/>
    <mergeCell ref="A6:B6"/>
    <mergeCell ref="A7:B7"/>
    <mergeCell ref="A8:B8"/>
    <mergeCell ref="A9:B9"/>
    <mergeCell ref="A42:B42"/>
    <mergeCell ref="A59:Q59"/>
    <mergeCell ref="A60:E60"/>
  </mergeCells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&amp;L&amp;9Income Statements and GAAP Reconciliation&amp;C&amp;9Cisco Systems, Inc.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0" activeCellId="1" sqref="A37 B40"/>
    </sheetView>
  </sheetViews>
  <sheetFormatPr defaultColWidth="11.453125" defaultRowHeight="12" zeroHeight="false" outlineLevelRow="0" outlineLevelCol="0"/>
  <cols>
    <col collapsed="false" customWidth="true" hidden="false" outlineLevel="0" max="1" min="1" style="5" width="6.54"/>
    <col collapsed="false" customWidth="true" hidden="false" outlineLevel="0" max="2" min="2" style="70" width="78.18"/>
    <col collapsed="false" customWidth="true" hidden="false" outlineLevel="0" max="3" min="3" style="70" width="1.54"/>
    <col collapsed="false" customWidth="true" hidden="false" outlineLevel="0" max="4" min="4" style="5" width="18"/>
    <col collapsed="false" customWidth="true" hidden="false" outlineLevel="0" max="5" min="5" style="70" width="1.54"/>
    <col collapsed="false" customWidth="true" hidden="false" outlineLevel="0" max="6" min="6" style="5" width="18"/>
    <col collapsed="false" customWidth="true" hidden="false" outlineLevel="0" max="7" min="7" style="5" width="1.54"/>
    <col collapsed="false" customWidth="true" hidden="false" outlineLevel="0" max="8" min="8" style="5" width="18"/>
    <col collapsed="false" customWidth="true" hidden="false" outlineLevel="0" max="9" min="9" style="5" width="1.54"/>
    <col collapsed="false" customWidth="true" hidden="false" outlineLevel="0" max="10" min="10" style="5" width="18"/>
    <col collapsed="false" customWidth="true" hidden="false" outlineLevel="0" max="11" min="11" style="5" width="1.54"/>
    <col collapsed="false" customWidth="true" hidden="false" outlineLevel="0" max="12" min="12" style="5" width="18"/>
    <col collapsed="false" customWidth="false" hidden="false" outlineLevel="0" max="16384" min="13" style="5" width="11.45"/>
  </cols>
  <sheetData>
    <row r="1" customFormat="false" ht="12.75" hidden="false" customHeight="false" outlineLevel="0" collapsed="false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2.75" hidden="false" customHeight="false" outlineLevel="0" collapsed="false">
      <c r="A2" s="1" t="s">
        <v>50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2.75" hidden="false" customHeight="false" outlineLevel="0" collapsed="false">
      <c r="A3" s="6" t="s">
        <v>51</v>
      </c>
      <c r="B3" s="6"/>
      <c r="C3" s="6"/>
      <c r="D3" s="6"/>
      <c r="E3" s="6"/>
      <c r="F3" s="6"/>
      <c r="G3" s="1"/>
      <c r="H3" s="6"/>
      <c r="I3" s="1"/>
      <c r="J3" s="6"/>
      <c r="K3" s="1"/>
      <c r="L3" s="6"/>
    </row>
    <row r="4" customFormat="false" ht="12.75" hidden="false" customHeight="false" outlineLevel="0" collapsed="false">
      <c r="A4" s="8"/>
      <c r="B4" s="8"/>
      <c r="C4" s="8"/>
      <c r="E4" s="8"/>
      <c r="F4" s="4"/>
      <c r="G4" s="4"/>
      <c r="H4" s="4"/>
      <c r="I4" s="4"/>
      <c r="J4" s="4"/>
      <c r="K4" s="4"/>
      <c r="L4" s="4"/>
    </row>
    <row r="5" customFormat="false" ht="14.25" hidden="false" customHeight="false" outlineLevel="0" collapsed="false">
      <c r="A5" s="25"/>
      <c r="B5" s="25"/>
      <c r="C5" s="143"/>
      <c r="D5" s="144" t="str">
        <f aca="false">'Income Statements'!C7</f>
        <v>FY 2023</v>
      </c>
      <c r="E5" s="143"/>
      <c r="F5" s="145" t="str">
        <f aca="false">'Income Statements'!G7</f>
        <v>FY 2023</v>
      </c>
      <c r="G5" s="146"/>
      <c r="H5" s="145" t="str">
        <f aca="false">'Income Statements'!K7</f>
        <v>FY 2023</v>
      </c>
      <c r="I5" s="146" t="n">
        <f aca="false">'Income Statements'!P7</f>
        <v>0</v>
      </c>
      <c r="J5" s="145" t="str">
        <f aca="false">'Income Statements'!O7</f>
        <v>FY 2023</v>
      </c>
      <c r="K5" s="146" t="n">
        <f aca="false">'Income Statements'!R7</f>
        <v>0</v>
      </c>
      <c r="L5" s="145" t="str">
        <f aca="false">'Income Statements'!Q7</f>
        <v>FY 2023</v>
      </c>
    </row>
    <row r="6" customFormat="false" ht="14.25" hidden="false" customHeight="true" outlineLevel="0" collapsed="false">
      <c r="A6" s="10"/>
      <c r="B6" s="10"/>
      <c r="C6" s="147"/>
      <c r="D6" s="148" t="str">
        <f aca="false">'Income Statements'!C8</f>
        <v>Quarter Ended</v>
      </c>
      <c r="E6" s="147"/>
      <c r="F6" s="149" t="str">
        <f aca="false">'Income Statements'!G8</f>
        <v>Quarter Ended</v>
      </c>
      <c r="G6" s="146"/>
      <c r="H6" s="149" t="str">
        <f aca="false">'Income Statements'!K8</f>
        <v>Quarter Ended</v>
      </c>
      <c r="I6" s="146" t="n">
        <f aca="false">'Income Statements'!P8</f>
        <v>0</v>
      </c>
      <c r="J6" s="149" t="str">
        <f aca="false">'Income Statements'!O8</f>
        <v>Quarter Ended</v>
      </c>
      <c r="K6" s="146" t="n">
        <f aca="false">'Income Statements'!R8</f>
        <v>0</v>
      </c>
      <c r="L6" s="149" t="s">
        <v>8</v>
      </c>
    </row>
    <row r="7" customFormat="false" ht="26.25" hidden="false" customHeight="false" outlineLevel="0" collapsed="false">
      <c r="A7" s="150"/>
      <c r="B7" s="150"/>
      <c r="C7" s="151"/>
      <c r="D7" s="152" t="str">
        <f aca="false">'Income Statements'!C9</f>
        <v>October 29, 
2022</v>
      </c>
      <c r="E7" s="151"/>
      <c r="F7" s="153" t="str">
        <f aca="false">'Income Statements'!G9</f>
        <v>January 28, 
2023</v>
      </c>
      <c r="G7" s="146"/>
      <c r="H7" s="153" t="str">
        <f aca="false">'Income Statements'!K9</f>
        <v>April 29, 
2023</v>
      </c>
      <c r="I7" s="146" t="n">
        <f aca="false">'Income Statements'!P9</f>
        <v>0</v>
      </c>
      <c r="J7" s="153" t="str">
        <f aca="false">'Income Statements'!O9</f>
        <v>July 29, 
2023</v>
      </c>
      <c r="K7" s="146" t="n">
        <f aca="false">'Income Statements'!R9</f>
        <v>0</v>
      </c>
      <c r="L7" s="153" t="str">
        <f aca="false">'Income Statements'!Q9</f>
        <v>July 29, 
2023</v>
      </c>
    </row>
    <row r="8" customFormat="false" ht="12.75" hidden="false" customHeight="true" outlineLevel="0" collapsed="false">
      <c r="A8" s="154" t="s">
        <v>52</v>
      </c>
      <c r="B8" s="154"/>
      <c r="C8" s="155"/>
      <c r="D8" s="156"/>
      <c r="E8" s="155"/>
      <c r="F8" s="156"/>
      <c r="G8" s="146"/>
      <c r="H8" s="156"/>
      <c r="I8" s="146"/>
      <c r="J8" s="156"/>
      <c r="K8" s="146"/>
      <c r="L8" s="156"/>
    </row>
    <row r="9" customFormat="false" ht="14.25" hidden="false" customHeight="false" outlineLevel="0" collapsed="false">
      <c r="A9" s="154"/>
      <c r="B9" s="154"/>
      <c r="C9" s="155"/>
      <c r="D9" s="156"/>
      <c r="E9" s="155"/>
      <c r="F9" s="156"/>
      <c r="G9" s="146"/>
      <c r="H9" s="156"/>
      <c r="I9" s="146"/>
      <c r="J9" s="156"/>
      <c r="K9" s="146"/>
      <c r="L9" s="156"/>
    </row>
    <row r="10" customFormat="false" ht="20.25" hidden="false" customHeight="true" outlineLevel="0" collapsed="false">
      <c r="A10" s="157" t="s">
        <v>53</v>
      </c>
      <c r="B10" s="157"/>
      <c r="C10" s="157"/>
      <c r="D10" s="158" t="n">
        <f aca="false">'Income Statements'!C46</f>
        <v>2670</v>
      </c>
      <c r="E10" s="158"/>
      <c r="F10" s="158" t="n">
        <f aca="false">'Income Statements'!G46</f>
        <v>2773</v>
      </c>
      <c r="G10" s="159"/>
      <c r="H10" s="158" t="n">
        <f aca="false">'Income Statements'!K46</f>
        <v>3212</v>
      </c>
      <c r="I10" s="159" t="n">
        <f aca="false">'Income Statements'!P46</f>
        <v>0</v>
      </c>
      <c r="J10" s="158" t="n">
        <f aca="false">'Income Statements'!O46</f>
        <v>3958</v>
      </c>
      <c r="K10" s="159" t="n">
        <f aca="false">'Income Statements'!R46</f>
        <v>0</v>
      </c>
      <c r="L10" s="158" t="n">
        <f aca="false">'Income Statements'!S46</f>
        <v>12613</v>
      </c>
    </row>
    <row r="11" customFormat="false" ht="20.25" hidden="false" customHeight="true" outlineLevel="0" collapsed="false">
      <c r="A11" s="160" t="s">
        <v>54</v>
      </c>
      <c r="B11" s="70" t="s">
        <v>55</v>
      </c>
      <c r="D11" s="161" t="n">
        <f aca="false">'GAAP Recon Note 2'!N11</f>
        <v>496</v>
      </c>
      <c r="F11" s="161" t="n">
        <f aca="false">'GAAP Recon Note 2'!N21</f>
        <v>604</v>
      </c>
      <c r="G11" s="162"/>
      <c r="H11" s="161" t="n">
        <f aca="false">'GAAP Recon Note 2'!N31</f>
        <v>624</v>
      </c>
      <c r="I11" s="162" t="n">
        <f aca="false">'GAAP Recon Note 2'!O31</f>
        <v>0</v>
      </c>
      <c r="J11" s="161" t="n">
        <f aca="false">'GAAP Recon Note 2'!N41</f>
        <v>623</v>
      </c>
      <c r="K11" s="162" t="n">
        <f aca="false">'GAAP Recon Note 2'!Q31</f>
        <v>0</v>
      </c>
      <c r="L11" s="161" t="n">
        <f aca="false">'GAAP Recon Note 2'!N51</f>
        <v>2347</v>
      </c>
      <c r="M11" s="163"/>
    </row>
    <row r="12" s="165" customFormat="true" ht="15" hidden="false" customHeight="true" outlineLevel="0" collapsed="false">
      <c r="A12" s="160" t="s">
        <v>56</v>
      </c>
      <c r="B12" s="70" t="s">
        <v>57</v>
      </c>
      <c r="C12" s="70"/>
      <c r="D12" s="161" t="n">
        <f aca="false">'GAAP Recon Note 2'!N12</f>
        <v>224</v>
      </c>
      <c r="E12" s="70"/>
      <c r="F12" s="161" t="n">
        <f aca="false">'GAAP Recon Note 2'!N22</f>
        <v>224</v>
      </c>
      <c r="G12" s="164"/>
      <c r="H12" s="161" t="n">
        <f aca="false">'GAAP Recon Note 2'!N32</f>
        <v>226</v>
      </c>
      <c r="I12" s="164" t="n">
        <f aca="false">'GAAP Recon Note 2'!O32</f>
        <v>0</v>
      </c>
      <c r="J12" s="161" t="n">
        <f aca="false">'GAAP Recon Note 2'!N42</f>
        <v>238</v>
      </c>
      <c r="K12" s="164" t="n">
        <f aca="false">'GAAP Recon Note 2'!Q32</f>
        <v>0</v>
      </c>
      <c r="L12" s="161" t="n">
        <f aca="false">'GAAP Recon Note 2'!N52</f>
        <v>912</v>
      </c>
      <c r="M12" s="163"/>
    </row>
    <row r="13" s="168" customFormat="true" ht="15" hidden="false" customHeight="true" outlineLevel="0" collapsed="false">
      <c r="A13" s="166" t="s">
        <v>58</v>
      </c>
      <c r="B13" s="70" t="s">
        <v>59</v>
      </c>
      <c r="C13" s="155"/>
      <c r="D13" s="161" t="n">
        <f aca="false">'GAAP Recon Note 2'!N13</f>
        <v>77</v>
      </c>
      <c r="E13" s="155"/>
      <c r="F13" s="161" t="n">
        <f aca="false">'GAAP Recon Note 2'!N23</f>
        <v>49</v>
      </c>
      <c r="G13" s="167"/>
      <c r="H13" s="161" t="n">
        <f aca="false">'GAAP Recon Note 2'!N33</f>
        <v>56</v>
      </c>
      <c r="I13" s="167" t="n">
        <f aca="false">'GAAP Recon Note 2'!O33</f>
        <v>0</v>
      </c>
      <c r="J13" s="161" t="n">
        <f aca="false">'GAAP Recon Note 2'!N43</f>
        <v>77</v>
      </c>
      <c r="K13" s="167" t="n">
        <f aca="false">'GAAP Recon Note 2'!Q33</f>
        <v>0</v>
      </c>
      <c r="L13" s="161" t="n">
        <f aca="false">'GAAP Recon Note 2'!N53</f>
        <v>259</v>
      </c>
      <c r="M13" s="163"/>
    </row>
    <row r="14" s="168" customFormat="true" ht="15" hidden="false" customHeight="true" outlineLevel="0" collapsed="false">
      <c r="A14" s="166" t="s">
        <v>60</v>
      </c>
      <c r="B14" s="70" t="s">
        <v>61</v>
      </c>
      <c r="C14" s="155"/>
      <c r="D14" s="161" t="n">
        <f aca="false">'GAAP Recon Note 2'!N14</f>
        <v>3</v>
      </c>
      <c r="E14" s="155"/>
      <c r="F14" s="161" t="n">
        <f aca="false">'GAAP Recon Note 2'!N24</f>
        <v>2</v>
      </c>
      <c r="G14" s="167"/>
      <c r="H14" s="161" t="n">
        <f aca="false">'GAAP Recon Note 2'!N34</f>
        <v>2</v>
      </c>
      <c r="I14" s="167" t="n">
        <f aca="false">'GAAP Recon Note 2'!O34</f>
        <v>0</v>
      </c>
      <c r="J14" s="161" t="n">
        <f aca="false">'GAAP Recon Note 2'!N44</f>
        <v>-7</v>
      </c>
      <c r="K14" s="167" t="n">
        <f aca="false">'GAAP Recon Note 2'!Q34</f>
        <v>0</v>
      </c>
      <c r="L14" s="161" t="n">
        <f aca="false">'GAAP Recon Note 2'!N54</f>
        <v>0</v>
      </c>
      <c r="M14" s="163"/>
    </row>
    <row r="15" s="168" customFormat="true" ht="15" hidden="false" customHeight="true" outlineLevel="0" collapsed="false">
      <c r="A15" s="166" t="s">
        <v>62</v>
      </c>
      <c r="B15" s="70" t="s">
        <v>63</v>
      </c>
      <c r="C15" s="155"/>
      <c r="D15" s="161" t="n">
        <f aca="false">'GAAP Recon Note 2'!N15</f>
        <v>0</v>
      </c>
      <c r="E15" s="155"/>
      <c r="F15" s="161" t="n">
        <f aca="false">'GAAP Recon Note 2'!N25</f>
        <v>0</v>
      </c>
      <c r="G15" s="167"/>
      <c r="H15" s="161" t="n">
        <f aca="false">'GAAP Recon Note 2'!N35</f>
        <v>0</v>
      </c>
      <c r="I15" s="167"/>
      <c r="J15" s="161" t="n">
        <f aca="false">'GAAP Recon Note 2'!N45</f>
        <v>-9</v>
      </c>
      <c r="K15" s="167"/>
      <c r="L15" s="161" t="n">
        <f aca="false">'GAAP Recon Note 2'!N55</f>
        <v>-9</v>
      </c>
      <c r="M15" s="163"/>
    </row>
    <row r="16" s="168" customFormat="true" ht="15" hidden="false" customHeight="true" outlineLevel="0" collapsed="false">
      <c r="A16" s="169" t="s">
        <v>64</v>
      </c>
      <c r="B16" s="70" t="s">
        <v>65</v>
      </c>
      <c r="C16" s="170"/>
      <c r="D16" s="161" t="n">
        <f aca="false">'GAAP Recon Note 2'!N16</f>
        <v>-2</v>
      </c>
      <c r="E16" s="170"/>
      <c r="F16" s="161" t="n">
        <f aca="false">'GAAP Recon Note 2'!N26</f>
        <v>243</v>
      </c>
      <c r="G16" s="167"/>
      <c r="H16" s="161" t="n">
        <f aca="false">'GAAP Recon Note 2'!N36</f>
        <v>87</v>
      </c>
      <c r="I16" s="167" t="n">
        <f aca="false">'GAAP Recon Note 2'!O36</f>
        <v>0</v>
      </c>
      <c r="J16" s="161" t="n">
        <f aca="false">'GAAP Recon Note 2'!N46</f>
        <v>203</v>
      </c>
      <c r="K16" s="167" t="n">
        <f aca="false">'GAAP Recon Note 2'!Q36</f>
        <v>0</v>
      </c>
      <c r="L16" s="161" t="n">
        <f aca="false">'GAAP Recon Note 2'!N56</f>
        <v>531</v>
      </c>
      <c r="M16" s="163"/>
    </row>
    <row r="17" s="165" customFormat="true" ht="15" hidden="false" customHeight="true" outlineLevel="0" collapsed="false">
      <c r="A17" s="169" t="s">
        <v>66</v>
      </c>
      <c r="B17" s="70" t="s">
        <v>67</v>
      </c>
      <c r="C17" s="74"/>
      <c r="D17" s="161" t="n">
        <f aca="false">'GAAP Recon Note 2'!N17</f>
        <v>109</v>
      </c>
      <c r="E17" s="170"/>
      <c r="F17" s="161" t="n">
        <f aca="false">'GAAP Recon Note 2'!N27</f>
        <v>-44</v>
      </c>
      <c r="G17" s="167"/>
      <c r="H17" s="161" t="n">
        <f aca="false">'GAAP Recon Note 2'!N37</f>
        <v>123</v>
      </c>
      <c r="I17" s="167" t="n">
        <f aca="false">'GAAP Recon Note 2'!O37</f>
        <v>0</v>
      </c>
      <c r="J17" s="161" t="n">
        <f aca="false">'GAAP Recon Note 2'!N47</f>
        <v>-55</v>
      </c>
      <c r="K17" s="167" t="n">
        <f aca="false">'GAAP Recon Note 2'!Q37</f>
        <v>0</v>
      </c>
      <c r="L17" s="161" t="n">
        <f aca="false">'GAAP Recon Note 2'!N57</f>
        <v>133</v>
      </c>
      <c r="M17" s="163"/>
    </row>
    <row r="18" s="174" customFormat="true" ht="15" hidden="false" customHeight="true" outlineLevel="0" collapsed="false">
      <c r="A18" s="171" t="s">
        <v>68</v>
      </c>
      <c r="B18" s="172"/>
      <c r="C18" s="74"/>
      <c r="D18" s="173" t="n">
        <f aca="false">SUM(D11:D17)</f>
        <v>907</v>
      </c>
      <c r="E18" s="74"/>
      <c r="F18" s="173" t="n">
        <f aca="false">SUM(F11:F17)</f>
        <v>1078</v>
      </c>
      <c r="G18" s="164"/>
      <c r="H18" s="173" t="n">
        <f aca="false">SUM(H11:H17)</f>
        <v>1118</v>
      </c>
      <c r="I18" s="164" t="n">
        <f aca="false">SUM(I11:I17)</f>
        <v>0</v>
      </c>
      <c r="J18" s="173" t="n">
        <f aca="false">SUM(J11:J17)</f>
        <v>1070</v>
      </c>
      <c r="K18" s="164" t="n">
        <f aca="false">SUM(K11:K17)</f>
        <v>0</v>
      </c>
      <c r="L18" s="173" t="n">
        <f aca="false">SUM(L11:L17)</f>
        <v>4173</v>
      </c>
    </row>
    <row r="19" s="174" customFormat="true" ht="15" hidden="false" customHeight="true" outlineLevel="0" collapsed="false">
      <c r="A19" s="175" t="s">
        <v>69</v>
      </c>
      <c r="B19" s="74" t="s">
        <v>70</v>
      </c>
      <c r="C19" s="74"/>
      <c r="D19" s="176" t="n">
        <v>-192</v>
      </c>
      <c r="E19" s="74"/>
      <c r="F19" s="176" t="n">
        <v>-212</v>
      </c>
      <c r="G19" s="177"/>
      <c r="H19" s="176" t="n">
        <v>-219</v>
      </c>
      <c r="I19" s="177" t="n">
        <f aca="false">G19+E19</f>
        <v>0</v>
      </c>
      <c r="J19" s="178" t="n">
        <v>-215</v>
      </c>
      <c r="K19" s="177" t="n">
        <f aca="false">I19+G19</f>
        <v>0</v>
      </c>
      <c r="L19" s="179" t="n">
        <f aca="false">F19+D19+H19+J19</f>
        <v>-838</v>
      </c>
    </row>
    <row r="20" s="174" customFormat="true" ht="12" hidden="false" customHeight="false" outlineLevel="0" collapsed="false">
      <c r="A20" s="175" t="s">
        <v>71</v>
      </c>
      <c r="B20" s="74" t="s">
        <v>72</v>
      </c>
      <c r="C20" s="74"/>
      <c r="D20" s="176" t="n">
        <v>164</v>
      </c>
      <c r="E20" s="74"/>
      <c r="F20" s="176" t="n">
        <v>0</v>
      </c>
      <c r="G20" s="177"/>
      <c r="H20" s="176" t="n">
        <v>0</v>
      </c>
      <c r="I20" s="177" t="n">
        <f aca="false">G20+E20</f>
        <v>0</v>
      </c>
      <c r="J20" s="180" t="n">
        <v>-133</v>
      </c>
      <c r="K20" s="177" t="n">
        <f aca="false">I20+G20</f>
        <v>0</v>
      </c>
      <c r="L20" s="181" t="n">
        <f aca="false">F20+D20+H20+J20</f>
        <v>31</v>
      </c>
    </row>
    <row r="21" s="174" customFormat="true" ht="12" hidden="false" customHeight="false" outlineLevel="0" collapsed="false">
      <c r="A21" s="171" t="s">
        <v>73</v>
      </c>
      <c r="B21" s="74"/>
      <c r="C21" s="74"/>
      <c r="D21" s="173" t="n">
        <f aca="false">SUM(D19:D20)</f>
        <v>-28</v>
      </c>
      <c r="E21" s="74"/>
      <c r="F21" s="173" t="n">
        <f aca="false">SUM(F19:F20)</f>
        <v>-212</v>
      </c>
      <c r="G21" s="182"/>
      <c r="H21" s="173" t="n">
        <f aca="false">SUM(H19:H20)</f>
        <v>-219</v>
      </c>
      <c r="I21" s="182" t="n">
        <f aca="false">SUM(I19:I20)</f>
        <v>0</v>
      </c>
      <c r="J21" s="183" t="n">
        <f aca="false">SUM(J19:J20)</f>
        <v>-348</v>
      </c>
      <c r="K21" s="182" t="n">
        <f aca="false">SUM(K19:K20)</f>
        <v>0</v>
      </c>
      <c r="L21" s="173" t="n">
        <f aca="false">SUM(L19:L20)</f>
        <v>-807</v>
      </c>
    </row>
    <row r="22" customFormat="false" ht="15.75" hidden="false" customHeight="true" outlineLevel="0" collapsed="false">
      <c r="A22" s="184"/>
      <c r="B22" s="74"/>
      <c r="C22" s="74"/>
      <c r="D22" s="185"/>
      <c r="E22" s="74"/>
      <c r="F22" s="176"/>
      <c r="G22" s="182"/>
      <c r="H22" s="176"/>
      <c r="I22" s="182"/>
      <c r="J22" s="176"/>
      <c r="K22" s="182"/>
      <c r="L22" s="176"/>
    </row>
    <row r="23" customFormat="false" ht="12.75" hidden="false" customHeight="false" outlineLevel="0" collapsed="false">
      <c r="A23" s="186" t="s">
        <v>74</v>
      </c>
      <c r="B23" s="187"/>
      <c r="D23" s="188" t="n">
        <f aca="false">D10+D18+D21</f>
        <v>3549</v>
      </c>
      <c r="E23" s="74"/>
      <c r="F23" s="188" t="n">
        <f aca="false">F10+F18+F21</f>
        <v>3639</v>
      </c>
      <c r="G23" s="162"/>
      <c r="H23" s="188" t="n">
        <f aca="false">H10+H18+H21</f>
        <v>4111</v>
      </c>
      <c r="I23" s="162" t="n">
        <f aca="false">I10+I18+I21</f>
        <v>0</v>
      </c>
      <c r="J23" s="188" t="n">
        <f aca="false">J10+J18+J21</f>
        <v>4680</v>
      </c>
      <c r="K23" s="162" t="n">
        <f aca="false">K10+K18+K21</f>
        <v>0</v>
      </c>
      <c r="L23" s="188" t="n">
        <f aca="false">L10+L18+L21</f>
        <v>15979</v>
      </c>
    </row>
    <row r="24" customFormat="false" ht="10.5" hidden="false" customHeight="true" outlineLevel="0" collapsed="false">
      <c r="A24" s="189"/>
      <c r="D24" s="190"/>
      <c r="F24" s="191"/>
    </row>
    <row r="25" customFormat="false" ht="10.5" hidden="false" customHeight="true" outlineLevel="0" collapsed="false">
      <c r="A25" s="189"/>
      <c r="D25" s="190"/>
      <c r="F25" s="190"/>
    </row>
    <row r="26" customFormat="false" ht="10.5" hidden="false" customHeight="true" outlineLevel="0" collapsed="false">
      <c r="A26" s="189"/>
      <c r="D26" s="190"/>
      <c r="F26" s="190"/>
    </row>
    <row r="27" customFormat="false" ht="10.5" hidden="false" customHeight="true" outlineLevel="0" collapsed="false">
      <c r="A27" s="189"/>
      <c r="D27" s="190"/>
      <c r="F27" s="190"/>
    </row>
    <row r="28" customFormat="false" ht="10.5" hidden="false" customHeight="true" outlineLevel="0" collapsed="false">
      <c r="A28" s="189"/>
      <c r="D28" s="190"/>
      <c r="F28" s="190"/>
    </row>
    <row r="29" customFormat="false" ht="10.5" hidden="false" customHeight="true" outlineLevel="0" collapsed="false">
      <c r="A29" s="189"/>
      <c r="D29" s="190"/>
      <c r="F29" s="190"/>
    </row>
    <row r="30" customFormat="false" ht="10.5" hidden="false" customHeight="true" outlineLevel="0" collapsed="false">
      <c r="A30" s="189"/>
      <c r="D30" s="190"/>
      <c r="F30" s="190"/>
    </row>
    <row r="31" customFormat="false" ht="10.5" hidden="false" customHeight="true" outlineLevel="0" collapsed="false">
      <c r="A31" s="189"/>
      <c r="D31" s="190"/>
      <c r="F31" s="190"/>
    </row>
  </sheetData>
  <mergeCells count="4">
    <mergeCell ref="A5:B5"/>
    <mergeCell ref="A6:B6"/>
    <mergeCell ref="A7:B7"/>
    <mergeCell ref="A8:B9"/>
  </mergeCells>
  <printOptions headings="false" gridLines="false" gridLinesSet="true" horizontalCentered="false" verticalCentered="false"/>
  <pageMargins left="0.25" right="0.25" top="0.75" bottom="0.75" header="0.511811023622047" footer="0.3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&amp;L&amp;9Income Statements and GAAP Reconciliation&amp;C&amp;9Cisco Systems, Inc.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75"/>
  <sheetViews>
    <sheetView showFormulas="false" showGridLines="false" showRowColHeaders="true" showZeros="true" rightToLeft="false" tabSelected="false" showOutlineSymbols="true" defaultGridColor="true" view="normal" topLeftCell="A13" colorId="64" zoomScale="90" zoomScaleNormal="90" zoomScalePageLayoutView="100" workbookViewId="0">
      <selection pane="topLeft" activeCell="K52" activeCellId="1" sqref="A37 K52"/>
    </sheetView>
  </sheetViews>
  <sheetFormatPr defaultColWidth="10.54296875" defaultRowHeight="12" zeroHeight="false" outlineLevelRow="0" outlineLevelCol="0"/>
  <cols>
    <col collapsed="false" customWidth="true" hidden="false" outlineLevel="0" max="1" min="1" style="192" width="8.45"/>
    <col collapsed="false" customWidth="true" hidden="false" outlineLevel="0" max="2" min="2" style="193" width="1.45"/>
    <col collapsed="false" customWidth="true" hidden="false" outlineLevel="0" max="3" min="3" style="194" width="47.45"/>
    <col collapsed="false" customWidth="true" hidden="false" outlineLevel="0" max="4" min="4" style="194" width="1.63"/>
    <col collapsed="false" customWidth="true" hidden="false" outlineLevel="0" max="5" min="5" style="193" width="15.54"/>
    <col collapsed="false" customWidth="true" hidden="false" outlineLevel="0" max="6" min="6" style="193" width="15"/>
    <col collapsed="false" customWidth="true" hidden="false" outlineLevel="0" max="7" min="7" style="193" width="1.54"/>
    <col collapsed="false" customWidth="true" hidden="false" outlineLevel="0" max="8" min="8" style="193" width="17"/>
    <col collapsed="false" customWidth="true" hidden="false" outlineLevel="0" max="9" min="9" style="193" width="16"/>
    <col collapsed="false" customWidth="true" hidden="false" outlineLevel="0" max="10" min="10" style="193" width="15.54"/>
    <col collapsed="false" customWidth="true" hidden="false" outlineLevel="0" max="11" min="11" style="193" width="21.45"/>
    <col collapsed="false" customWidth="true" hidden="false" outlineLevel="0" max="13" min="12" style="193" width="15"/>
    <col collapsed="false" customWidth="true" hidden="false" outlineLevel="0" max="14" min="14" style="193" width="12.45"/>
    <col collapsed="false" customWidth="false" hidden="false" outlineLevel="0" max="15" min="15" style="190" width="10.54"/>
    <col collapsed="false" customWidth="true" hidden="false" outlineLevel="0" max="16" min="16" style="190" width="13.54"/>
    <col collapsed="false" customWidth="false" hidden="false" outlineLevel="0" max="16384" min="17" style="190" width="10.54"/>
  </cols>
  <sheetData>
    <row r="1" s="5" customFormat="true" ht="12.75" hidden="false" customHeight="false" outlineLevel="0" collapsed="false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="5" customFormat="true" ht="12.75" hidden="false" customHeight="false" outlineLevel="0" collapsed="false">
      <c r="A2" s="1" t="s">
        <v>75</v>
      </c>
      <c r="B2" s="195"/>
      <c r="C2" s="1"/>
      <c r="D2" s="1"/>
      <c r="E2" s="1"/>
      <c r="F2" s="195"/>
      <c r="G2" s="195"/>
      <c r="H2" s="195"/>
      <c r="I2" s="195"/>
      <c r="J2" s="195"/>
      <c r="K2" s="195"/>
      <c r="L2" s="195"/>
      <c r="M2" s="195"/>
      <c r="N2" s="19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="5" customFormat="true" ht="12.75" hidden="false" customHeight="false" outlineLevel="0" collapsed="false">
      <c r="A3" s="6" t="s">
        <v>51</v>
      </c>
      <c r="B3" s="196"/>
      <c r="C3" s="6"/>
      <c r="D3" s="6"/>
      <c r="E3" s="6"/>
      <c r="F3" s="196"/>
      <c r="G3" s="196"/>
      <c r="H3" s="196"/>
      <c r="I3" s="196"/>
      <c r="J3" s="196"/>
      <c r="K3" s="196"/>
      <c r="L3" s="196"/>
      <c r="M3" s="196"/>
      <c r="N3" s="196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="5" customFormat="true" ht="12.75" hidden="false" customHeight="false" outlineLevel="0" collapsed="false">
      <c r="A4" s="197"/>
      <c r="B4" s="4"/>
      <c r="C4" s="84"/>
      <c r="D4" s="8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customFormat="false" ht="24" hidden="false" customHeight="true" outlineLevel="0" collapsed="false">
      <c r="A5" s="198"/>
      <c r="B5" s="199"/>
      <c r="C5" s="200"/>
      <c r="D5" s="200"/>
      <c r="E5" s="201" t="s">
        <v>76</v>
      </c>
      <c r="F5" s="201"/>
      <c r="G5" s="32"/>
      <c r="H5" s="201" t="s">
        <v>77</v>
      </c>
      <c r="I5" s="201"/>
      <c r="J5" s="201"/>
      <c r="K5" s="201"/>
      <c r="L5" s="201"/>
      <c r="M5" s="202" t="s">
        <v>78</v>
      </c>
      <c r="N5" s="144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203"/>
      <c r="AD5" s="203"/>
      <c r="AE5" s="203"/>
    </row>
    <row r="6" s="212" customFormat="true" ht="15" hidden="false" customHeight="true" outlineLevel="0" collapsed="false">
      <c r="A6" s="204"/>
      <c r="B6" s="205"/>
      <c r="C6" s="206"/>
      <c r="D6" s="206"/>
      <c r="E6" s="207"/>
      <c r="F6" s="207"/>
      <c r="G6" s="208"/>
      <c r="H6" s="209" t="s">
        <v>79</v>
      </c>
      <c r="I6" s="209" t="s">
        <v>80</v>
      </c>
      <c r="J6" s="209" t="s">
        <v>81</v>
      </c>
      <c r="K6" s="209" t="s">
        <v>82</v>
      </c>
      <c r="L6" s="209" t="s">
        <v>83</v>
      </c>
      <c r="M6" s="209" t="s">
        <v>84</v>
      </c>
      <c r="N6" s="210" t="s">
        <v>85</v>
      </c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1"/>
      <c r="Z6" s="211"/>
      <c r="AA6" s="211"/>
      <c r="AB6" s="211"/>
      <c r="AC6" s="211"/>
      <c r="AD6" s="211"/>
      <c r="AE6" s="211"/>
    </row>
    <row r="7" s="212" customFormat="true" ht="27" hidden="false" customHeight="true" outlineLevel="0" collapsed="false">
      <c r="A7" s="213"/>
      <c r="B7" s="205"/>
      <c r="C7" s="214"/>
      <c r="D7" s="206"/>
      <c r="E7" s="148" t="s">
        <v>14</v>
      </c>
      <c r="F7" s="148" t="s">
        <v>15</v>
      </c>
      <c r="G7" s="32"/>
      <c r="H7" s="209"/>
      <c r="I7" s="209"/>
      <c r="J7" s="209"/>
      <c r="K7" s="209"/>
      <c r="L7" s="209"/>
      <c r="M7" s="209"/>
      <c r="N7" s="210"/>
      <c r="O7" s="211"/>
      <c r="P7" s="211"/>
      <c r="Q7" s="211"/>
      <c r="R7" s="211"/>
      <c r="S7" s="211"/>
      <c r="T7" s="211"/>
      <c r="U7" s="211"/>
      <c r="V7" s="211"/>
      <c r="W7" s="211"/>
      <c r="X7" s="211"/>
      <c r="Y7" s="211"/>
      <c r="Z7" s="211"/>
      <c r="AA7" s="211"/>
      <c r="AB7" s="211"/>
      <c r="AC7" s="211"/>
      <c r="AD7" s="211"/>
      <c r="AE7" s="211"/>
    </row>
    <row r="8" customFormat="false" ht="16.5" hidden="false" customHeight="true" outlineLevel="0" collapsed="false">
      <c r="A8" s="215"/>
      <c r="B8" s="216"/>
      <c r="C8" s="206" t="s">
        <v>86</v>
      </c>
      <c r="D8" s="200"/>
      <c r="E8" s="217"/>
      <c r="F8" s="218"/>
      <c r="G8" s="216"/>
      <c r="H8" s="219"/>
      <c r="I8" s="219"/>
      <c r="J8" s="219"/>
      <c r="K8" s="219"/>
      <c r="L8" s="219"/>
      <c r="M8" s="219"/>
      <c r="N8" s="219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  <c r="AD8" s="203"/>
      <c r="AE8" s="203"/>
    </row>
    <row r="9" customFormat="false" ht="12" hidden="false" customHeight="false" outlineLevel="0" collapsed="false">
      <c r="E9" s="220"/>
      <c r="F9" s="221"/>
      <c r="H9" s="222"/>
      <c r="I9" s="222"/>
      <c r="J9" s="222"/>
      <c r="K9" s="222"/>
      <c r="L9" s="222"/>
      <c r="M9" s="222"/>
      <c r="N9" s="222"/>
    </row>
    <row r="10" customFormat="false" ht="20.25" hidden="false" customHeight="true" outlineLevel="0" collapsed="false">
      <c r="A10" s="223" t="s">
        <v>87</v>
      </c>
      <c r="B10" s="224"/>
      <c r="C10" s="225" t="s">
        <v>88</v>
      </c>
      <c r="E10" s="220"/>
      <c r="F10" s="221"/>
      <c r="H10" s="222"/>
      <c r="I10" s="222"/>
      <c r="J10" s="222"/>
      <c r="K10" s="222"/>
      <c r="L10" s="222"/>
      <c r="M10" s="222"/>
      <c r="N10" s="222"/>
    </row>
    <row r="11" customFormat="false" ht="12" hidden="false" customHeight="false" outlineLevel="0" collapsed="false">
      <c r="A11" s="226" t="s">
        <v>54</v>
      </c>
      <c r="B11" s="227"/>
      <c r="C11" s="228" t="s">
        <v>55</v>
      </c>
      <c r="E11" s="229" t="n">
        <v>31</v>
      </c>
      <c r="F11" s="230" t="n">
        <v>50</v>
      </c>
      <c r="G11" s="227"/>
      <c r="H11" s="231" t="n">
        <v>204</v>
      </c>
      <c r="I11" s="231" t="n">
        <v>153</v>
      </c>
      <c r="J11" s="231" t="n">
        <v>58</v>
      </c>
      <c r="K11" s="231" t="n">
        <v>0</v>
      </c>
      <c r="L11" s="231" t="n">
        <v>0</v>
      </c>
      <c r="M11" s="231" t="n">
        <v>0</v>
      </c>
      <c r="N11" s="231" t="n">
        <f aca="false">SUM(E11:M11)</f>
        <v>496</v>
      </c>
    </row>
    <row r="12" customFormat="false" ht="12.75" hidden="false" customHeight="true" outlineLevel="0" collapsed="false">
      <c r="A12" s="226" t="s">
        <v>56</v>
      </c>
      <c r="B12" s="232"/>
      <c r="C12" s="228" t="s">
        <v>57</v>
      </c>
      <c r="E12" s="233" t="n">
        <v>153</v>
      </c>
      <c r="F12" s="234" t="n">
        <v>0</v>
      </c>
      <c r="G12" s="232"/>
      <c r="H12" s="235" t="n">
        <v>0</v>
      </c>
      <c r="I12" s="235" t="n">
        <v>0</v>
      </c>
      <c r="J12" s="235" t="n">
        <v>0</v>
      </c>
      <c r="K12" s="235" t="n">
        <v>71</v>
      </c>
      <c r="L12" s="235" t="n">
        <v>0</v>
      </c>
      <c r="M12" s="235" t="n">
        <v>0</v>
      </c>
      <c r="N12" s="235" t="n">
        <f aca="false">SUM(E12:M12)</f>
        <v>224</v>
      </c>
    </row>
    <row r="13" customFormat="false" ht="12" hidden="false" customHeight="false" outlineLevel="0" collapsed="false">
      <c r="A13" s="192" t="s">
        <v>58</v>
      </c>
      <c r="B13" s="232"/>
      <c r="C13" s="228" t="s">
        <v>59</v>
      </c>
      <c r="E13" s="233" t="n">
        <v>2</v>
      </c>
      <c r="F13" s="234" t="n">
        <v>0</v>
      </c>
      <c r="G13" s="232"/>
      <c r="H13" s="235" t="n">
        <v>67</v>
      </c>
      <c r="I13" s="235" t="n">
        <v>2</v>
      </c>
      <c r="J13" s="235" t="n">
        <v>6</v>
      </c>
      <c r="K13" s="235" t="n">
        <v>0</v>
      </c>
      <c r="L13" s="235" t="n">
        <v>0</v>
      </c>
      <c r="M13" s="235" t="n">
        <v>0</v>
      </c>
      <c r="N13" s="235" t="n">
        <f aca="false">SUM(E13:M13)</f>
        <v>77</v>
      </c>
    </row>
    <row r="14" customFormat="false" ht="12" hidden="false" customHeight="false" outlineLevel="0" collapsed="false">
      <c r="A14" s="192" t="s">
        <v>60</v>
      </c>
      <c r="B14" s="232"/>
      <c r="C14" s="228" t="s">
        <v>61</v>
      </c>
      <c r="E14" s="233" t="n">
        <v>0</v>
      </c>
      <c r="F14" s="234" t="n">
        <v>0</v>
      </c>
      <c r="G14" s="232"/>
      <c r="H14" s="235" t="n">
        <v>0</v>
      </c>
      <c r="I14" s="235" t="n">
        <v>-1</v>
      </c>
      <c r="J14" s="235" t="n">
        <v>4</v>
      </c>
      <c r="K14" s="235" t="n">
        <v>0</v>
      </c>
      <c r="L14" s="235" t="n">
        <v>0</v>
      </c>
      <c r="M14" s="235" t="n">
        <v>0</v>
      </c>
      <c r="N14" s="235" t="n">
        <f aca="false">SUM(E14:M14)</f>
        <v>3</v>
      </c>
    </row>
    <row r="15" customFormat="false" ht="12" hidden="false" customHeight="false" outlineLevel="0" collapsed="false">
      <c r="A15" s="192" t="s">
        <v>62</v>
      </c>
      <c r="B15" s="232"/>
      <c r="C15" s="228" t="s">
        <v>63</v>
      </c>
      <c r="E15" s="233" t="n">
        <v>0</v>
      </c>
      <c r="F15" s="234" t="n">
        <v>0</v>
      </c>
      <c r="G15" s="232"/>
      <c r="H15" s="235" t="n">
        <v>0</v>
      </c>
      <c r="I15" s="235" t="n">
        <v>0</v>
      </c>
      <c r="J15" s="235" t="n">
        <v>0</v>
      </c>
      <c r="K15" s="235" t="n">
        <v>0</v>
      </c>
      <c r="L15" s="235" t="n">
        <v>0</v>
      </c>
      <c r="M15" s="235" t="n">
        <v>0</v>
      </c>
      <c r="N15" s="235" t="n">
        <f aca="false">SUM(E15:M15)</f>
        <v>0</v>
      </c>
    </row>
    <row r="16" customFormat="false" ht="12" hidden="false" customHeight="false" outlineLevel="0" collapsed="false">
      <c r="A16" s="192" t="s">
        <v>64</v>
      </c>
      <c r="B16" s="232"/>
      <c r="C16" s="228" t="s">
        <v>65</v>
      </c>
      <c r="E16" s="233" t="n">
        <v>0</v>
      </c>
      <c r="F16" s="234" t="n">
        <v>0</v>
      </c>
      <c r="G16" s="232"/>
      <c r="H16" s="235" t="n">
        <v>0</v>
      </c>
      <c r="I16" s="235" t="n">
        <v>0</v>
      </c>
      <c r="J16" s="235" t="n">
        <v>0</v>
      </c>
      <c r="K16" s="235" t="n">
        <v>0</v>
      </c>
      <c r="L16" s="235" t="n">
        <v>-2</v>
      </c>
      <c r="M16" s="235" t="n">
        <v>0</v>
      </c>
      <c r="N16" s="235" t="n">
        <f aca="false">SUM(E16:M16)</f>
        <v>-2</v>
      </c>
    </row>
    <row r="17" customFormat="false" ht="12" hidden="false" customHeight="false" outlineLevel="0" collapsed="false">
      <c r="A17" s="192" t="s">
        <v>66</v>
      </c>
      <c r="B17" s="232"/>
      <c r="C17" s="228" t="s">
        <v>67</v>
      </c>
      <c r="E17" s="233" t="n">
        <v>0</v>
      </c>
      <c r="F17" s="234" t="n">
        <v>0</v>
      </c>
      <c r="G17" s="232"/>
      <c r="H17" s="235" t="n">
        <v>0</v>
      </c>
      <c r="I17" s="235" t="n">
        <v>0</v>
      </c>
      <c r="J17" s="235" t="n">
        <v>0</v>
      </c>
      <c r="K17" s="235" t="n">
        <v>0</v>
      </c>
      <c r="L17" s="235" t="n">
        <v>0</v>
      </c>
      <c r="M17" s="235" t="n">
        <v>109</v>
      </c>
      <c r="N17" s="235" t="n">
        <f aca="false">SUM(E17:M17)</f>
        <v>109</v>
      </c>
    </row>
    <row r="18" customFormat="false" ht="12.75" hidden="false" customHeight="false" outlineLevel="0" collapsed="false">
      <c r="B18" s="227"/>
      <c r="C18" s="236" t="s">
        <v>85</v>
      </c>
      <c r="E18" s="237" t="n">
        <f aca="false">SUM(E11:E17)</f>
        <v>186</v>
      </c>
      <c r="F18" s="238" t="n">
        <f aca="false">SUM(F11:F17)</f>
        <v>50</v>
      </c>
      <c r="G18" s="227"/>
      <c r="H18" s="239" t="n">
        <f aca="false">SUM(H11:H17)</f>
        <v>271</v>
      </c>
      <c r="I18" s="239" t="n">
        <f aca="false">SUM(I11:I17)</f>
        <v>154</v>
      </c>
      <c r="J18" s="239" t="n">
        <f aca="false">SUM(J11:J17)</f>
        <v>68</v>
      </c>
      <c r="K18" s="239" t="n">
        <f aca="false">SUM(K11:K17)</f>
        <v>71</v>
      </c>
      <c r="L18" s="239" t="n">
        <f aca="false">SUM(L11:L17)</f>
        <v>-2</v>
      </c>
      <c r="M18" s="239" t="n">
        <f aca="false">SUM(M11:M17)</f>
        <v>109</v>
      </c>
      <c r="N18" s="239" t="n">
        <f aca="false">SUM(E18:M18)</f>
        <v>907</v>
      </c>
    </row>
    <row r="19" customFormat="false" ht="20.25" hidden="false" customHeight="true" outlineLevel="0" collapsed="false">
      <c r="A19" s="215"/>
      <c r="B19" s="240"/>
      <c r="C19" s="241"/>
      <c r="D19" s="200"/>
      <c r="E19" s="242"/>
      <c r="F19" s="243"/>
      <c r="G19" s="216"/>
      <c r="H19" s="244"/>
      <c r="I19" s="244"/>
      <c r="J19" s="244"/>
      <c r="K19" s="244"/>
      <c r="L19" s="244"/>
      <c r="M19" s="244"/>
      <c r="N19" s="244"/>
    </row>
    <row r="20" customFormat="false" ht="20.25" hidden="false" customHeight="true" outlineLevel="0" collapsed="false">
      <c r="A20" s="223" t="s">
        <v>87</v>
      </c>
      <c r="B20" s="224"/>
      <c r="C20" s="225" t="s">
        <v>89</v>
      </c>
      <c r="E20" s="220"/>
      <c r="F20" s="221"/>
      <c r="H20" s="222"/>
      <c r="I20" s="222"/>
      <c r="J20" s="222"/>
      <c r="K20" s="222"/>
      <c r="L20" s="222"/>
      <c r="M20" s="222"/>
      <c r="N20" s="222"/>
    </row>
    <row r="21" customFormat="false" ht="12" hidden="false" customHeight="false" outlineLevel="0" collapsed="false">
      <c r="A21" s="226" t="s">
        <v>54</v>
      </c>
      <c r="B21" s="227"/>
      <c r="C21" s="228" t="s">
        <v>55</v>
      </c>
      <c r="E21" s="229" t="n">
        <v>40</v>
      </c>
      <c r="F21" s="230" t="n">
        <v>66</v>
      </c>
      <c r="G21" s="227"/>
      <c r="H21" s="231" t="n">
        <v>261</v>
      </c>
      <c r="I21" s="231" t="n">
        <v>166</v>
      </c>
      <c r="J21" s="231" t="n">
        <v>71</v>
      </c>
      <c r="K21" s="231" t="n">
        <v>0</v>
      </c>
      <c r="L21" s="231" t="n">
        <v>0</v>
      </c>
      <c r="M21" s="231" t="n">
        <v>0</v>
      </c>
      <c r="N21" s="231" t="n">
        <f aca="false">SUM(E21:M21)</f>
        <v>604</v>
      </c>
    </row>
    <row r="22" customFormat="false" ht="12" hidden="false" customHeight="false" outlineLevel="0" collapsed="false">
      <c r="A22" s="226" t="s">
        <v>56</v>
      </c>
      <c r="B22" s="232"/>
      <c r="C22" s="228" t="s">
        <v>57</v>
      </c>
      <c r="E22" s="233" t="n">
        <v>153</v>
      </c>
      <c r="F22" s="234" t="n">
        <v>0</v>
      </c>
      <c r="G22" s="232"/>
      <c r="H22" s="235" t="n">
        <v>0</v>
      </c>
      <c r="I22" s="235" t="n">
        <v>0</v>
      </c>
      <c r="J22" s="235" t="n">
        <v>0</v>
      </c>
      <c r="K22" s="235" t="n">
        <v>71</v>
      </c>
      <c r="L22" s="235" t="n">
        <v>0</v>
      </c>
      <c r="M22" s="235" t="n">
        <v>0</v>
      </c>
      <c r="N22" s="235" t="n">
        <f aca="false">SUM(E22:M22)</f>
        <v>224</v>
      </c>
    </row>
    <row r="23" customFormat="false" ht="12" hidden="false" customHeight="false" outlineLevel="0" collapsed="false">
      <c r="A23" s="192" t="s">
        <v>58</v>
      </c>
      <c r="B23" s="232"/>
      <c r="C23" s="228" t="s">
        <v>59</v>
      </c>
      <c r="E23" s="233" t="n">
        <v>1</v>
      </c>
      <c r="F23" s="234" t="n">
        <v>0</v>
      </c>
      <c r="G23" s="232"/>
      <c r="H23" s="235" t="n">
        <v>46</v>
      </c>
      <c r="I23" s="235" t="n">
        <v>1</v>
      </c>
      <c r="J23" s="235" t="n">
        <v>1</v>
      </c>
      <c r="K23" s="235" t="n">
        <v>0</v>
      </c>
      <c r="L23" s="235" t="n">
        <v>0</v>
      </c>
      <c r="M23" s="235" t="n">
        <v>0</v>
      </c>
      <c r="N23" s="235" t="n">
        <f aca="false">SUM(E23:M23)</f>
        <v>49</v>
      </c>
    </row>
    <row r="24" customFormat="false" ht="12" hidden="false" customHeight="false" outlineLevel="0" collapsed="false">
      <c r="A24" s="192" t="s">
        <v>60</v>
      </c>
      <c r="B24" s="232"/>
      <c r="C24" s="228" t="s">
        <v>61</v>
      </c>
      <c r="E24" s="233" t="n">
        <v>0</v>
      </c>
      <c r="F24" s="234" t="n">
        <v>0</v>
      </c>
      <c r="G24" s="232"/>
      <c r="H24" s="235" t="n">
        <v>0</v>
      </c>
      <c r="I24" s="235" t="n">
        <v>1</v>
      </c>
      <c r="J24" s="235" t="n">
        <v>1</v>
      </c>
      <c r="K24" s="235" t="n">
        <v>0</v>
      </c>
      <c r="L24" s="235" t="n">
        <v>0</v>
      </c>
      <c r="M24" s="235" t="n">
        <v>0</v>
      </c>
      <c r="N24" s="235" t="n">
        <f aca="false">SUM(E24:M24)</f>
        <v>2</v>
      </c>
    </row>
    <row r="25" customFormat="false" ht="12" hidden="false" customHeight="false" outlineLevel="0" collapsed="false">
      <c r="A25" s="192" t="s">
        <v>62</v>
      </c>
      <c r="B25" s="232"/>
      <c r="C25" s="228" t="s">
        <v>63</v>
      </c>
      <c r="E25" s="233" t="n">
        <v>0</v>
      </c>
      <c r="F25" s="234" t="n">
        <v>0</v>
      </c>
      <c r="G25" s="232"/>
      <c r="H25" s="235" t="n">
        <v>0</v>
      </c>
      <c r="I25" s="235" t="n">
        <v>0</v>
      </c>
      <c r="J25" s="235" t="n">
        <v>0</v>
      </c>
      <c r="K25" s="235" t="n">
        <v>0</v>
      </c>
      <c r="L25" s="235" t="n">
        <v>0</v>
      </c>
      <c r="M25" s="235" t="n">
        <v>0</v>
      </c>
      <c r="N25" s="235" t="n">
        <f aca="false">SUM(E25:M25)</f>
        <v>0</v>
      </c>
    </row>
    <row r="26" customFormat="false" ht="12" hidden="false" customHeight="false" outlineLevel="0" collapsed="false">
      <c r="A26" s="192" t="s">
        <v>64</v>
      </c>
      <c r="B26" s="232"/>
      <c r="C26" s="228" t="s">
        <v>65</v>
      </c>
      <c r="E26" s="233" t="n">
        <v>0</v>
      </c>
      <c r="F26" s="234" t="n">
        <v>0</v>
      </c>
      <c r="G26" s="232"/>
      <c r="H26" s="235" t="n">
        <v>0</v>
      </c>
      <c r="I26" s="235" t="n">
        <v>0</v>
      </c>
      <c r="J26" s="235" t="n">
        <v>0</v>
      </c>
      <c r="K26" s="235" t="n">
        <v>0</v>
      </c>
      <c r="L26" s="235" t="n">
        <v>243</v>
      </c>
      <c r="M26" s="235" t="n">
        <v>0</v>
      </c>
      <c r="N26" s="235" t="n">
        <f aca="false">SUM(E26:M26)</f>
        <v>243</v>
      </c>
    </row>
    <row r="27" customFormat="false" ht="12" hidden="false" customHeight="false" outlineLevel="0" collapsed="false">
      <c r="A27" s="192" t="s">
        <v>66</v>
      </c>
      <c r="B27" s="232"/>
      <c r="C27" s="228" t="s">
        <v>67</v>
      </c>
      <c r="E27" s="233" t="n">
        <v>0</v>
      </c>
      <c r="F27" s="234" t="n">
        <v>0</v>
      </c>
      <c r="G27" s="232"/>
      <c r="H27" s="235" t="n">
        <v>0</v>
      </c>
      <c r="I27" s="235" t="n">
        <v>0</v>
      </c>
      <c r="J27" s="235" t="n">
        <v>0</v>
      </c>
      <c r="K27" s="235" t="n">
        <v>0</v>
      </c>
      <c r="L27" s="235" t="n">
        <v>0</v>
      </c>
      <c r="M27" s="235" t="n">
        <v>-44</v>
      </c>
      <c r="N27" s="235" t="n">
        <f aca="false">SUM(E27:M27)</f>
        <v>-44</v>
      </c>
    </row>
    <row r="28" customFormat="false" ht="12.75" hidden="false" customHeight="false" outlineLevel="0" collapsed="false">
      <c r="B28" s="227"/>
      <c r="C28" s="236" t="s">
        <v>85</v>
      </c>
      <c r="E28" s="237" t="n">
        <f aca="false">SUM(E21:E27)</f>
        <v>194</v>
      </c>
      <c r="F28" s="238" t="n">
        <f aca="false">SUM(F21:F27)</f>
        <v>66</v>
      </c>
      <c r="G28" s="227"/>
      <c r="H28" s="239" t="n">
        <f aca="false">SUM(H21:H27)</f>
        <v>307</v>
      </c>
      <c r="I28" s="239" t="n">
        <f aca="false">SUM(I21:I27)</f>
        <v>168</v>
      </c>
      <c r="J28" s="239" t="n">
        <f aca="false">SUM(J21:J27)</f>
        <v>73</v>
      </c>
      <c r="K28" s="239" t="n">
        <f aca="false">SUM(K21:K27)</f>
        <v>71</v>
      </c>
      <c r="L28" s="239" t="n">
        <f aca="false">SUM(L21:L27)</f>
        <v>243</v>
      </c>
      <c r="M28" s="239" t="n">
        <f aca="false">SUM(M21:M27)</f>
        <v>-44</v>
      </c>
      <c r="N28" s="239" t="n">
        <f aca="false">SUM(E28:M28)</f>
        <v>1078</v>
      </c>
    </row>
    <row r="29" customFormat="false" ht="12.75" hidden="false" customHeight="false" outlineLevel="0" collapsed="false">
      <c r="A29" s="245"/>
      <c r="B29" s="246"/>
      <c r="C29" s="247"/>
      <c r="D29" s="200"/>
      <c r="E29" s="248"/>
      <c r="F29" s="249"/>
      <c r="G29" s="246"/>
      <c r="H29" s="250"/>
      <c r="I29" s="250"/>
      <c r="J29" s="250"/>
      <c r="K29" s="250"/>
      <c r="L29" s="250"/>
      <c r="M29" s="250"/>
      <c r="N29" s="250"/>
    </row>
    <row r="30" customFormat="false" ht="20.25" hidden="false" customHeight="true" outlineLevel="0" collapsed="false">
      <c r="A30" s="223" t="s">
        <v>87</v>
      </c>
      <c r="B30" s="224"/>
      <c r="C30" s="225" t="s">
        <v>90</v>
      </c>
      <c r="E30" s="220"/>
      <c r="F30" s="221"/>
      <c r="H30" s="222"/>
      <c r="I30" s="222"/>
      <c r="J30" s="222"/>
      <c r="K30" s="222"/>
      <c r="L30" s="222"/>
      <c r="M30" s="222"/>
      <c r="N30" s="222"/>
    </row>
    <row r="31" customFormat="false" ht="12" hidden="false" customHeight="false" outlineLevel="0" collapsed="false">
      <c r="A31" s="226" t="s">
        <v>54</v>
      </c>
      <c r="B31" s="227"/>
      <c r="C31" s="228" t="s">
        <v>55</v>
      </c>
      <c r="E31" s="229" t="n">
        <v>40</v>
      </c>
      <c r="F31" s="230" t="n">
        <v>66</v>
      </c>
      <c r="G31" s="227"/>
      <c r="H31" s="231" t="n">
        <v>272</v>
      </c>
      <c r="I31" s="231" t="n">
        <v>175</v>
      </c>
      <c r="J31" s="231" t="n">
        <v>71</v>
      </c>
      <c r="K31" s="231" t="n">
        <v>0</v>
      </c>
      <c r="L31" s="231" t="n">
        <v>0</v>
      </c>
      <c r="M31" s="231" t="n">
        <v>0</v>
      </c>
      <c r="N31" s="231" t="n">
        <f aca="false">SUM(E31:M31)</f>
        <v>624</v>
      </c>
    </row>
    <row r="32" customFormat="false" ht="12" hidden="false" customHeight="false" outlineLevel="0" collapsed="false">
      <c r="A32" s="226" t="s">
        <v>56</v>
      </c>
      <c r="B32" s="232"/>
      <c r="C32" s="228" t="s">
        <v>57</v>
      </c>
      <c r="E32" s="233" t="n">
        <v>156</v>
      </c>
      <c r="F32" s="234" t="n">
        <v>0</v>
      </c>
      <c r="G32" s="232"/>
      <c r="H32" s="235" t="n">
        <v>0</v>
      </c>
      <c r="I32" s="235" t="n">
        <v>0</v>
      </c>
      <c r="J32" s="235" t="n">
        <v>0</v>
      </c>
      <c r="K32" s="235" t="n">
        <v>70</v>
      </c>
      <c r="L32" s="235" t="n">
        <v>0</v>
      </c>
      <c r="M32" s="235" t="n">
        <v>0</v>
      </c>
      <c r="N32" s="235" t="n">
        <f aca="false">SUM(E32:M32)</f>
        <v>226</v>
      </c>
    </row>
    <row r="33" customFormat="false" ht="12" hidden="false" customHeight="false" outlineLevel="0" collapsed="false">
      <c r="A33" s="192" t="s">
        <v>58</v>
      </c>
      <c r="B33" s="232"/>
      <c r="C33" s="228" t="s">
        <v>59</v>
      </c>
      <c r="E33" s="233" t="n">
        <v>1</v>
      </c>
      <c r="F33" s="234" t="n">
        <v>0</v>
      </c>
      <c r="G33" s="232"/>
      <c r="H33" s="235" t="n">
        <v>51</v>
      </c>
      <c r="I33" s="235" t="n">
        <v>1</v>
      </c>
      <c r="J33" s="235" t="n">
        <v>3</v>
      </c>
      <c r="K33" s="235" t="n">
        <v>0</v>
      </c>
      <c r="L33" s="235" t="n">
        <v>0</v>
      </c>
      <c r="M33" s="235" t="n">
        <v>0</v>
      </c>
      <c r="N33" s="235" t="n">
        <f aca="false">SUM(E33:M33)</f>
        <v>56</v>
      </c>
    </row>
    <row r="34" customFormat="false" ht="12" hidden="false" customHeight="false" outlineLevel="0" collapsed="false">
      <c r="A34" s="192" t="s">
        <v>60</v>
      </c>
      <c r="B34" s="232"/>
      <c r="C34" s="228" t="s">
        <v>61</v>
      </c>
      <c r="E34" s="233" t="n">
        <v>0</v>
      </c>
      <c r="F34" s="234" t="n">
        <v>0</v>
      </c>
      <c r="G34" s="232"/>
      <c r="H34" s="235" t="n">
        <v>0</v>
      </c>
      <c r="I34" s="235" t="n">
        <v>1</v>
      </c>
      <c r="J34" s="235" t="n">
        <v>1</v>
      </c>
      <c r="K34" s="235" t="n">
        <v>0</v>
      </c>
      <c r="L34" s="235" t="n">
        <v>0</v>
      </c>
      <c r="M34" s="235" t="n">
        <v>0</v>
      </c>
      <c r="N34" s="235" t="n">
        <f aca="false">SUM(E34:M34)</f>
        <v>2</v>
      </c>
    </row>
    <row r="35" customFormat="false" ht="12" hidden="false" customHeight="false" outlineLevel="0" collapsed="false">
      <c r="A35" s="192" t="s">
        <v>62</v>
      </c>
      <c r="B35" s="232"/>
      <c r="C35" s="228" t="s">
        <v>63</v>
      </c>
      <c r="E35" s="233" t="n">
        <v>0</v>
      </c>
      <c r="F35" s="234" t="n">
        <v>0</v>
      </c>
      <c r="G35" s="232"/>
      <c r="H35" s="235" t="n">
        <v>0</v>
      </c>
      <c r="I35" s="235" t="n">
        <v>0</v>
      </c>
      <c r="J35" s="235" t="n">
        <v>0</v>
      </c>
      <c r="K35" s="235" t="n">
        <v>0</v>
      </c>
      <c r="L35" s="235" t="n">
        <v>0</v>
      </c>
      <c r="M35" s="235" t="n">
        <v>0</v>
      </c>
      <c r="N35" s="235" t="n">
        <f aca="false">SUM(E35:M35)</f>
        <v>0</v>
      </c>
    </row>
    <row r="36" customFormat="false" ht="12" hidden="false" customHeight="false" outlineLevel="0" collapsed="false">
      <c r="A36" s="192" t="s">
        <v>64</v>
      </c>
      <c r="B36" s="232"/>
      <c r="C36" s="228" t="s">
        <v>65</v>
      </c>
      <c r="E36" s="233" t="n">
        <v>0</v>
      </c>
      <c r="F36" s="234" t="n">
        <v>0</v>
      </c>
      <c r="G36" s="232"/>
      <c r="H36" s="235" t="n">
        <v>0</v>
      </c>
      <c r="I36" s="235" t="n">
        <v>0</v>
      </c>
      <c r="J36" s="235" t="n">
        <v>0</v>
      </c>
      <c r="K36" s="235" t="n">
        <v>0</v>
      </c>
      <c r="L36" s="235" t="n">
        <v>87</v>
      </c>
      <c r="M36" s="235" t="n">
        <v>0</v>
      </c>
      <c r="N36" s="235" t="n">
        <f aca="false">SUM(E36:M36)</f>
        <v>87</v>
      </c>
    </row>
    <row r="37" customFormat="false" ht="12" hidden="false" customHeight="false" outlineLevel="0" collapsed="false">
      <c r="A37" s="192" t="s">
        <v>66</v>
      </c>
      <c r="B37" s="232"/>
      <c r="C37" s="228" t="s">
        <v>67</v>
      </c>
      <c r="E37" s="233" t="n">
        <v>0</v>
      </c>
      <c r="F37" s="234" t="n">
        <v>0</v>
      </c>
      <c r="G37" s="232"/>
      <c r="H37" s="235" t="n">
        <v>0</v>
      </c>
      <c r="I37" s="235" t="n">
        <v>0</v>
      </c>
      <c r="J37" s="235" t="n">
        <v>0</v>
      </c>
      <c r="K37" s="235" t="n">
        <v>0</v>
      </c>
      <c r="L37" s="235" t="n">
        <v>0</v>
      </c>
      <c r="M37" s="235" t="n">
        <v>123</v>
      </c>
      <c r="N37" s="235" t="n">
        <f aca="false">SUM(E37:M37)</f>
        <v>123</v>
      </c>
    </row>
    <row r="38" customFormat="false" ht="12.75" hidden="false" customHeight="false" outlineLevel="0" collapsed="false">
      <c r="B38" s="227"/>
      <c r="C38" s="236" t="s">
        <v>85</v>
      </c>
      <c r="E38" s="237" t="n">
        <f aca="false">SUM(E31:E37)</f>
        <v>197</v>
      </c>
      <c r="F38" s="238" t="n">
        <f aca="false">SUM(F31:F37)</f>
        <v>66</v>
      </c>
      <c r="G38" s="227"/>
      <c r="H38" s="239" t="n">
        <f aca="false">SUM(H31:H37)</f>
        <v>323</v>
      </c>
      <c r="I38" s="239" t="n">
        <f aca="false">SUM(I31:I37)</f>
        <v>177</v>
      </c>
      <c r="J38" s="239" t="n">
        <f aca="false">SUM(J31:J37)</f>
        <v>75</v>
      </c>
      <c r="K38" s="239" t="n">
        <f aca="false">SUM(K31:K37)</f>
        <v>70</v>
      </c>
      <c r="L38" s="239" t="n">
        <f aca="false">SUM(L31:L37)</f>
        <v>87</v>
      </c>
      <c r="M38" s="239" t="n">
        <f aca="false">SUM(M31:M37)</f>
        <v>123</v>
      </c>
      <c r="N38" s="239" t="n">
        <f aca="false">SUM(E38:M38)</f>
        <v>1118</v>
      </c>
    </row>
    <row r="39" customFormat="false" ht="12.75" hidden="false" customHeight="false" outlineLevel="0" collapsed="false">
      <c r="A39" s="245"/>
      <c r="B39" s="246"/>
      <c r="C39" s="247"/>
      <c r="D39" s="200"/>
      <c r="E39" s="248"/>
      <c r="F39" s="249"/>
      <c r="G39" s="246"/>
      <c r="H39" s="250"/>
      <c r="I39" s="250"/>
      <c r="J39" s="250"/>
      <c r="K39" s="250"/>
      <c r="L39" s="250"/>
      <c r="M39" s="250"/>
      <c r="N39" s="250"/>
    </row>
    <row r="40" customFormat="false" ht="20.25" hidden="false" customHeight="true" outlineLevel="0" collapsed="false">
      <c r="A40" s="223" t="s">
        <v>87</v>
      </c>
      <c r="B40" s="224"/>
      <c r="C40" s="225" t="s">
        <v>91</v>
      </c>
      <c r="E40" s="220"/>
      <c r="F40" s="221"/>
      <c r="H40" s="222"/>
      <c r="I40" s="222"/>
      <c r="J40" s="222"/>
      <c r="K40" s="222"/>
      <c r="L40" s="222"/>
      <c r="M40" s="222"/>
      <c r="N40" s="222"/>
    </row>
    <row r="41" customFormat="false" ht="12" hidden="false" customHeight="false" outlineLevel="0" collapsed="false">
      <c r="A41" s="226" t="s">
        <v>54</v>
      </c>
      <c r="B41" s="227"/>
      <c r="C41" s="228" t="s">
        <v>55</v>
      </c>
      <c r="E41" s="229" t="n">
        <v>40</v>
      </c>
      <c r="F41" s="227" t="n">
        <v>63</v>
      </c>
      <c r="G41" s="229" t="n">
        <f aca="false">G11+G21+G31</f>
        <v>0</v>
      </c>
      <c r="H41" s="229" t="n">
        <v>271</v>
      </c>
      <c r="I41" s="229" t="n">
        <v>179</v>
      </c>
      <c r="J41" s="229" t="n">
        <v>70</v>
      </c>
      <c r="K41" s="229" t="n">
        <v>0</v>
      </c>
      <c r="L41" s="229" t="n">
        <v>0</v>
      </c>
      <c r="M41" s="229" t="n">
        <v>0</v>
      </c>
      <c r="N41" s="231" t="n">
        <f aca="false">SUM(E41:M41)</f>
        <v>623</v>
      </c>
    </row>
    <row r="42" customFormat="false" ht="12" hidden="false" customHeight="false" outlineLevel="0" collapsed="false">
      <c r="A42" s="226" t="s">
        <v>56</v>
      </c>
      <c r="B42" s="232"/>
      <c r="C42" s="228" t="s">
        <v>57</v>
      </c>
      <c r="E42" s="251" t="n">
        <v>168</v>
      </c>
      <c r="F42" s="252" t="n">
        <v>0</v>
      </c>
      <c r="G42" s="251" t="n">
        <f aca="false">G12+G22+G32</f>
        <v>0</v>
      </c>
      <c r="H42" s="251" t="n">
        <v>0</v>
      </c>
      <c r="I42" s="251" t="n">
        <v>0</v>
      </c>
      <c r="J42" s="251" t="n">
        <v>0</v>
      </c>
      <c r="K42" s="251" t="n">
        <v>70</v>
      </c>
      <c r="L42" s="251" t="n">
        <v>0</v>
      </c>
      <c r="M42" s="251" t="n">
        <v>0</v>
      </c>
      <c r="N42" s="235" t="n">
        <f aca="false">SUM(E42:M42)</f>
        <v>238</v>
      </c>
    </row>
    <row r="43" customFormat="false" ht="12" hidden="false" customHeight="false" outlineLevel="0" collapsed="false">
      <c r="A43" s="192" t="s">
        <v>58</v>
      </c>
      <c r="B43" s="232"/>
      <c r="C43" s="228" t="s">
        <v>59</v>
      </c>
      <c r="E43" s="251" t="n">
        <v>14</v>
      </c>
      <c r="F43" s="252" t="n">
        <v>0</v>
      </c>
      <c r="G43" s="251" t="n">
        <f aca="false">G13+G23+G33</f>
        <v>0</v>
      </c>
      <c r="H43" s="251" t="n">
        <v>43</v>
      </c>
      <c r="I43" s="251" t="n">
        <v>1</v>
      </c>
      <c r="J43" s="251" t="n">
        <v>19</v>
      </c>
      <c r="K43" s="251" t="n">
        <v>0</v>
      </c>
      <c r="L43" s="251" t="n">
        <v>0</v>
      </c>
      <c r="M43" s="251" t="n">
        <v>0</v>
      </c>
      <c r="N43" s="235" t="n">
        <f aca="false">SUM(E43:M43)</f>
        <v>77</v>
      </c>
    </row>
    <row r="44" customFormat="false" ht="12" hidden="false" customHeight="false" outlineLevel="0" collapsed="false">
      <c r="A44" s="192" t="s">
        <v>60</v>
      </c>
      <c r="B44" s="232"/>
      <c r="C44" s="228" t="s">
        <v>61</v>
      </c>
      <c r="E44" s="251" t="n">
        <v>0</v>
      </c>
      <c r="F44" s="252" t="n">
        <v>0</v>
      </c>
      <c r="G44" s="251" t="n">
        <f aca="false">G14+G24+G34</f>
        <v>0</v>
      </c>
      <c r="H44" s="251" t="n">
        <v>0</v>
      </c>
      <c r="I44" s="251" t="n">
        <v>0</v>
      </c>
      <c r="J44" s="251" t="n">
        <v>-7</v>
      </c>
      <c r="K44" s="251" t="n">
        <v>0</v>
      </c>
      <c r="L44" s="251" t="n">
        <v>0</v>
      </c>
      <c r="M44" s="251" t="n">
        <v>0</v>
      </c>
      <c r="N44" s="235" t="n">
        <f aca="false">SUM(E44:M44)</f>
        <v>-7</v>
      </c>
    </row>
    <row r="45" customFormat="false" ht="12" hidden="false" customHeight="false" outlineLevel="0" collapsed="false">
      <c r="A45" s="192" t="s">
        <v>62</v>
      </c>
      <c r="B45" s="232"/>
      <c r="C45" s="228" t="s">
        <v>63</v>
      </c>
      <c r="E45" s="251" t="n">
        <v>-9</v>
      </c>
      <c r="F45" s="252" t="n">
        <v>0</v>
      </c>
      <c r="G45" s="251"/>
      <c r="H45" s="251" t="n">
        <v>0</v>
      </c>
      <c r="I45" s="251" t="n">
        <v>0</v>
      </c>
      <c r="J45" s="251" t="n">
        <v>0</v>
      </c>
      <c r="K45" s="251" t="n">
        <v>0</v>
      </c>
      <c r="L45" s="251" t="n">
        <v>0</v>
      </c>
      <c r="M45" s="251" t="n">
        <v>0</v>
      </c>
      <c r="N45" s="235" t="n">
        <f aca="false">SUM(E45:M45)</f>
        <v>-9</v>
      </c>
    </row>
    <row r="46" customFormat="false" ht="12" hidden="false" customHeight="false" outlineLevel="0" collapsed="false">
      <c r="A46" s="192" t="s">
        <v>64</v>
      </c>
      <c r="B46" s="232"/>
      <c r="C46" s="228" t="s">
        <v>65</v>
      </c>
      <c r="E46" s="251" t="n">
        <v>0</v>
      </c>
      <c r="F46" s="252" t="n">
        <v>0</v>
      </c>
      <c r="G46" s="251" t="n">
        <f aca="false">G16+G26+G36</f>
        <v>0</v>
      </c>
      <c r="H46" s="251" t="n">
        <v>0</v>
      </c>
      <c r="I46" s="251" t="n">
        <v>0</v>
      </c>
      <c r="J46" s="251" t="n">
        <v>0</v>
      </c>
      <c r="K46" s="251" t="n">
        <v>0</v>
      </c>
      <c r="L46" s="251" t="n">
        <v>203</v>
      </c>
      <c r="M46" s="251" t="n">
        <v>0</v>
      </c>
      <c r="N46" s="235" t="n">
        <f aca="false">SUM(E46:M46)</f>
        <v>203</v>
      </c>
    </row>
    <row r="47" customFormat="false" ht="12" hidden="false" customHeight="false" outlineLevel="0" collapsed="false">
      <c r="A47" s="192" t="s">
        <v>66</v>
      </c>
      <c r="B47" s="232"/>
      <c r="C47" s="228" t="s">
        <v>67</v>
      </c>
      <c r="E47" s="253" t="n">
        <v>0</v>
      </c>
      <c r="F47" s="252" t="n">
        <v>0</v>
      </c>
      <c r="G47" s="251" t="n">
        <f aca="false">G17+G27+G37</f>
        <v>0</v>
      </c>
      <c r="H47" s="251" t="n">
        <v>0</v>
      </c>
      <c r="I47" s="251" t="n">
        <v>0</v>
      </c>
      <c r="J47" s="251" t="n">
        <v>0</v>
      </c>
      <c r="K47" s="251" t="n">
        <v>0</v>
      </c>
      <c r="L47" s="251" t="n">
        <v>0</v>
      </c>
      <c r="M47" s="251" t="n">
        <v>-55</v>
      </c>
      <c r="N47" s="235" t="n">
        <f aca="false">SUM(E47:M47)</f>
        <v>-55</v>
      </c>
    </row>
    <row r="48" customFormat="false" ht="12.75" hidden="false" customHeight="false" outlineLevel="0" collapsed="false">
      <c r="B48" s="227"/>
      <c r="C48" s="236" t="s">
        <v>85</v>
      </c>
      <c r="E48" s="237" t="n">
        <f aca="false">SUM(E41:E47)</f>
        <v>213</v>
      </c>
      <c r="F48" s="238" t="n">
        <f aca="false">SUM(F41:F47)</f>
        <v>63</v>
      </c>
      <c r="G48" s="227"/>
      <c r="H48" s="239" t="n">
        <f aca="false">SUM(H41:H47)</f>
        <v>314</v>
      </c>
      <c r="I48" s="239" t="n">
        <f aca="false">SUM(I41:I47)</f>
        <v>180</v>
      </c>
      <c r="J48" s="239" t="n">
        <f aca="false">SUM(J41:J47)</f>
        <v>82</v>
      </c>
      <c r="K48" s="239" t="n">
        <f aca="false">SUM(K41:K47)</f>
        <v>70</v>
      </c>
      <c r="L48" s="239" t="n">
        <f aca="false">SUM(L41:L47)</f>
        <v>203</v>
      </c>
      <c r="M48" s="239" t="n">
        <f aca="false">SUM(M41:M47)</f>
        <v>-55</v>
      </c>
      <c r="N48" s="239" t="n">
        <f aca="false">SUM(N41:N47)</f>
        <v>1070</v>
      </c>
    </row>
    <row r="49" customFormat="false" ht="12.75" hidden="false" customHeight="false" outlineLevel="0" collapsed="false">
      <c r="A49" s="245"/>
      <c r="B49" s="246"/>
      <c r="C49" s="247"/>
      <c r="D49" s="200"/>
      <c r="E49" s="248"/>
      <c r="F49" s="249"/>
      <c r="G49" s="246"/>
      <c r="H49" s="250"/>
      <c r="I49" s="250"/>
      <c r="J49" s="250"/>
      <c r="K49" s="250"/>
      <c r="L49" s="250"/>
      <c r="M49" s="250"/>
      <c r="N49" s="250"/>
    </row>
    <row r="50" customFormat="false" ht="20.25" hidden="false" customHeight="true" outlineLevel="0" collapsed="false">
      <c r="A50" s="223" t="s">
        <v>87</v>
      </c>
      <c r="B50" s="224"/>
      <c r="C50" s="225" t="s">
        <v>92</v>
      </c>
      <c r="E50" s="220"/>
      <c r="F50" s="221"/>
      <c r="H50" s="222"/>
      <c r="I50" s="222"/>
      <c r="J50" s="222"/>
      <c r="K50" s="222"/>
      <c r="L50" s="222"/>
      <c r="M50" s="222"/>
      <c r="N50" s="222"/>
    </row>
    <row r="51" customFormat="false" ht="12" hidden="false" customHeight="false" outlineLevel="0" collapsed="false">
      <c r="A51" s="226" t="s">
        <v>54</v>
      </c>
      <c r="B51" s="227"/>
      <c r="C51" s="228" t="s">
        <v>55</v>
      </c>
      <c r="E51" s="229" t="n">
        <f aca="false">E11+E21+E31+E41</f>
        <v>151</v>
      </c>
      <c r="F51" s="227" t="n">
        <f aca="false">F11+F21+F31+F41</f>
        <v>245</v>
      </c>
      <c r="G51" s="229"/>
      <c r="H51" s="229" t="n">
        <f aca="false">H11+H21+H31+H41</f>
        <v>1008</v>
      </c>
      <c r="I51" s="229" t="n">
        <f aca="false">I11+I21+I31+I41</f>
        <v>673</v>
      </c>
      <c r="J51" s="229" t="n">
        <f aca="false">J11+J21+J31+J41</f>
        <v>270</v>
      </c>
      <c r="K51" s="229" t="n">
        <f aca="false">K11+K21+K31+K41</f>
        <v>0</v>
      </c>
      <c r="L51" s="229" t="n">
        <f aca="false">L11+L21+L31+L41</f>
        <v>0</v>
      </c>
      <c r="M51" s="229" t="n">
        <f aca="false">M11+M21+M31+M41</f>
        <v>0</v>
      </c>
      <c r="N51" s="231" t="n">
        <f aca="false">SUM(E51:M51)</f>
        <v>2347</v>
      </c>
    </row>
    <row r="52" customFormat="false" ht="12" hidden="false" customHeight="false" outlineLevel="0" collapsed="false">
      <c r="A52" s="226" t="s">
        <v>56</v>
      </c>
      <c r="B52" s="232"/>
      <c r="C52" s="228" t="s">
        <v>57</v>
      </c>
      <c r="E52" s="251" t="n">
        <f aca="false">E12+E22+E32+E42</f>
        <v>630</v>
      </c>
      <c r="F52" s="252" t="n">
        <f aca="false">F12+F22+F32+F42</f>
        <v>0</v>
      </c>
      <c r="G52" s="251"/>
      <c r="H52" s="251" t="n">
        <f aca="false">H12+H22+H32+H42</f>
        <v>0</v>
      </c>
      <c r="I52" s="251" t="n">
        <f aca="false">I12+I22+I32+I42</f>
        <v>0</v>
      </c>
      <c r="J52" s="251" t="n">
        <f aca="false">J12+J22+J32+J42</f>
        <v>0</v>
      </c>
      <c r="K52" s="251" t="n">
        <f aca="false">K12+K22+K32+K42</f>
        <v>282</v>
      </c>
      <c r="L52" s="251" t="n">
        <f aca="false">L12+L22+L32+L42</f>
        <v>0</v>
      </c>
      <c r="M52" s="251" t="n">
        <f aca="false">M12+M22+M32+M42</f>
        <v>0</v>
      </c>
      <c r="N52" s="235" t="n">
        <f aca="false">SUM(E52:M52)</f>
        <v>912</v>
      </c>
    </row>
    <row r="53" customFormat="false" ht="12" hidden="false" customHeight="false" outlineLevel="0" collapsed="false">
      <c r="A53" s="192" t="s">
        <v>58</v>
      </c>
      <c r="B53" s="232"/>
      <c r="C53" s="228" t="s">
        <v>59</v>
      </c>
      <c r="E53" s="251" t="n">
        <f aca="false">E13+E23+E33+E43</f>
        <v>18</v>
      </c>
      <c r="F53" s="252" t="n">
        <f aca="false">F13+F23+F33+F43</f>
        <v>0</v>
      </c>
      <c r="G53" s="251"/>
      <c r="H53" s="251" t="n">
        <f aca="false">H13+H23+H33+H43</f>
        <v>207</v>
      </c>
      <c r="I53" s="251" t="n">
        <f aca="false">I13+I23+I33+I43</f>
        <v>5</v>
      </c>
      <c r="J53" s="251" t="n">
        <f aca="false">J13+J23+J33+J43</f>
        <v>29</v>
      </c>
      <c r="K53" s="251" t="n">
        <f aca="false">K13+K23+K33+K43</f>
        <v>0</v>
      </c>
      <c r="L53" s="251" t="n">
        <f aca="false">L13+L23+L33+L43</f>
        <v>0</v>
      </c>
      <c r="M53" s="251" t="n">
        <f aca="false">M13+M23+M33+M43</f>
        <v>0</v>
      </c>
      <c r="N53" s="235" t="n">
        <f aca="false">SUM(E53:M53)</f>
        <v>259</v>
      </c>
    </row>
    <row r="54" customFormat="false" ht="12" hidden="false" customHeight="false" outlineLevel="0" collapsed="false">
      <c r="A54" s="192" t="s">
        <v>60</v>
      </c>
      <c r="B54" s="232"/>
      <c r="C54" s="228" t="s">
        <v>61</v>
      </c>
      <c r="E54" s="251" t="n">
        <f aca="false">E14+E24+E34+E44</f>
        <v>0</v>
      </c>
      <c r="F54" s="252" t="n">
        <f aca="false">F14+F24+F34+F44</f>
        <v>0</v>
      </c>
      <c r="G54" s="251"/>
      <c r="H54" s="251" t="n">
        <f aca="false">H14+H24+H34+H44</f>
        <v>0</v>
      </c>
      <c r="I54" s="251" t="n">
        <f aca="false">I14+I24+I34+I44</f>
        <v>1</v>
      </c>
      <c r="J54" s="251" t="n">
        <f aca="false">J14+J24+J34+J44</f>
        <v>-1</v>
      </c>
      <c r="K54" s="251" t="n">
        <f aca="false">K14+K24+K34+K44</f>
        <v>0</v>
      </c>
      <c r="L54" s="251" t="n">
        <f aca="false">L14+L24+L34+L44</f>
        <v>0</v>
      </c>
      <c r="M54" s="251" t="n">
        <f aca="false">M14+M24+M34+M44</f>
        <v>0</v>
      </c>
      <c r="N54" s="235" t="n">
        <f aca="false">SUM(E54:M54)</f>
        <v>0</v>
      </c>
    </row>
    <row r="55" customFormat="false" ht="12" hidden="false" customHeight="false" outlineLevel="0" collapsed="false">
      <c r="A55" s="192" t="s">
        <v>62</v>
      </c>
      <c r="B55" s="232"/>
      <c r="C55" s="228" t="s">
        <v>63</v>
      </c>
      <c r="E55" s="251" t="n">
        <f aca="false">E15+E25+E35+E45</f>
        <v>-9</v>
      </c>
      <c r="F55" s="252" t="n">
        <f aca="false">F15+F25+F35+F45</f>
        <v>0</v>
      </c>
      <c r="G55" s="251"/>
      <c r="H55" s="251" t="n">
        <f aca="false">H15+H25+H35+H45</f>
        <v>0</v>
      </c>
      <c r="I55" s="251" t="n">
        <f aca="false">I15+I25+I35+I45</f>
        <v>0</v>
      </c>
      <c r="J55" s="251" t="n">
        <f aca="false">J15+J25+J35+J45</f>
        <v>0</v>
      </c>
      <c r="K55" s="251" t="n">
        <f aca="false">K15+K25+K35+K45</f>
        <v>0</v>
      </c>
      <c r="L55" s="251" t="n">
        <f aca="false">L15+L25+L35+L45</f>
        <v>0</v>
      </c>
      <c r="M55" s="251" t="n">
        <f aca="false">M15+M25+M35+M45</f>
        <v>0</v>
      </c>
      <c r="N55" s="235" t="n">
        <f aca="false">SUM(E55:M55)</f>
        <v>-9</v>
      </c>
    </row>
    <row r="56" customFormat="false" ht="12" hidden="false" customHeight="false" outlineLevel="0" collapsed="false">
      <c r="A56" s="192" t="s">
        <v>64</v>
      </c>
      <c r="B56" s="232"/>
      <c r="C56" s="228" t="s">
        <v>65</v>
      </c>
      <c r="E56" s="251" t="n">
        <f aca="false">E16+E26+E36+E46</f>
        <v>0</v>
      </c>
      <c r="F56" s="252" t="n">
        <f aca="false">F16+F26+F36+F46</f>
        <v>0</v>
      </c>
      <c r="G56" s="251"/>
      <c r="H56" s="251" t="n">
        <f aca="false">H16+H26+H36+H46</f>
        <v>0</v>
      </c>
      <c r="I56" s="251" t="n">
        <f aca="false">I16+I26+I36+I46</f>
        <v>0</v>
      </c>
      <c r="J56" s="251" t="n">
        <f aca="false">J16+J26+J36+J46</f>
        <v>0</v>
      </c>
      <c r="K56" s="251" t="n">
        <f aca="false">K16+K26+K36+K46</f>
        <v>0</v>
      </c>
      <c r="L56" s="251" t="n">
        <f aca="false">L16+L26+L36+L46</f>
        <v>531</v>
      </c>
      <c r="M56" s="251" t="n">
        <f aca="false">M16+M26+M36+M46</f>
        <v>0</v>
      </c>
      <c r="N56" s="235" t="n">
        <f aca="false">SUM(E56:M56)</f>
        <v>531</v>
      </c>
    </row>
    <row r="57" customFormat="false" ht="12" hidden="false" customHeight="false" outlineLevel="0" collapsed="false">
      <c r="A57" s="192" t="s">
        <v>66</v>
      </c>
      <c r="B57" s="232"/>
      <c r="C57" s="228" t="s">
        <v>67</v>
      </c>
      <c r="E57" s="253" t="n">
        <f aca="false">E17+E27+E37+E47</f>
        <v>0</v>
      </c>
      <c r="F57" s="252" t="n">
        <f aca="false">F17+F27+F37+F47</f>
        <v>0</v>
      </c>
      <c r="G57" s="251"/>
      <c r="H57" s="251" t="n">
        <f aca="false">H17+H27+H37+H47</f>
        <v>0</v>
      </c>
      <c r="I57" s="251" t="n">
        <f aca="false">I17+I27+I37+I47</f>
        <v>0</v>
      </c>
      <c r="J57" s="251" t="n">
        <f aca="false">J17+J27+J37+J47</f>
        <v>0</v>
      </c>
      <c r="K57" s="251" t="n">
        <f aca="false">K17+K27+K37+K47</f>
        <v>0</v>
      </c>
      <c r="L57" s="251" t="n">
        <f aca="false">L17+L27+L37+L47</f>
        <v>0</v>
      </c>
      <c r="M57" s="251" t="n">
        <f aca="false">M17+M27+M37+M47</f>
        <v>133</v>
      </c>
      <c r="N57" s="235" t="n">
        <f aca="false">SUM(E57:M57)</f>
        <v>133</v>
      </c>
    </row>
    <row r="58" customFormat="false" ht="12.75" hidden="false" customHeight="false" outlineLevel="0" collapsed="false">
      <c r="B58" s="227"/>
      <c r="C58" s="236" t="s">
        <v>85</v>
      </c>
      <c r="E58" s="237" t="n">
        <f aca="false">SUM(E51:E57)</f>
        <v>790</v>
      </c>
      <c r="F58" s="238" t="n">
        <f aca="false">SUM(F51:F57)</f>
        <v>245</v>
      </c>
      <c r="G58" s="227"/>
      <c r="H58" s="239" t="n">
        <f aca="false">SUM(H51:H57)</f>
        <v>1215</v>
      </c>
      <c r="I58" s="239" t="n">
        <f aca="false">SUM(I51:I57)</f>
        <v>679</v>
      </c>
      <c r="J58" s="239" t="n">
        <f aca="false">SUM(J51:J57)</f>
        <v>298</v>
      </c>
      <c r="K58" s="239" t="n">
        <f aca="false">SUM(K51:K57)</f>
        <v>282</v>
      </c>
      <c r="L58" s="239" t="n">
        <f aca="false">SUM(L51:L57)</f>
        <v>531</v>
      </c>
      <c r="M58" s="239" t="n">
        <f aca="false">SUM(M51:M57)</f>
        <v>133</v>
      </c>
      <c r="N58" s="239" t="n">
        <f aca="false">SUM(N51:N57)</f>
        <v>4173</v>
      </c>
    </row>
    <row r="59" customFormat="false" ht="12.75" hidden="false" customHeight="false" outlineLevel="0" collapsed="false">
      <c r="A59" s="245"/>
      <c r="B59" s="254"/>
      <c r="C59" s="255"/>
      <c r="D59" s="200"/>
      <c r="E59" s="254"/>
      <c r="F59" s="254"/>
      <c r="G59" s="254"/>
      <c r="H59" s="254"/>
      <c r="I59" s="254"/>
      <c r="J59" s="254"/>
      <c r="K59" s="254"/>
      <c r="L59" s="254"/>
      <c r="M59" s="254"/>
      <c r="N59" s="256"/>
    </row>
    <row r="60" customFormat="false" ht="12" hidden="false" customHeight="false" outlineLevel="0" collapsed="false">
      <c r="A60" s="245"/>
      <c r="B60" s="254"/>
      <c r="C60" s="255"/>
      <c r="D60" s="200"/>
      <c r="E60" s="254"/>
      <c r="F60" s="254"/>
      <c r="G60" s="254"/>
      <c r="H60" s="254"/>
      <c r="I60" s="254"/>
      <c r="J60" s="254"/>
      <c r="K60" s="254"/>
      <c r="L60" s="254"/>
      <c r="M60" s="254"/>
      <c r="N60" s="256"/>
    </row>
    <row r="61" customFormat="false" ht="12" hidden="false" customHeight="false" outlineLevel="0" collapsed="false">
      <c r="A61" s="245"/>
      <c r="B61" s="246"/>
      <c r="C61" s="247"/>
      <c r="D61" s="200"/>
      <c r="E61" s="246"/>
      <c r="F61" s="246"/>
      <c r="G61" s="246"/>
      <c r="H61" s="246"/>
      <c r="I61" s="246"/>
      <c r="J61" s="246"/>
      <c r="K61" s="246"/>
      <c r="L61" s="246"/>
      <c r="M61" s="246"/>
      <c r="N61" s="257"/>
    </row>
    <row r="62" customFormat="false" ht="12" hidden="false" customHeight="false" outlineLevel="0" collapsed="false">
      <c r="A62" s="245"/>
      <c r="B62" s="216"/>
      <c r="C62" s="200"/>
      <c r="D62" s="200"/>
      <c r="E62" s="216"/>
      <c r="F62" s="216"/>
      <c r="G62" s="216"/>
      <c r="H62" s="216"/>
      <c r="I62" s="216"/>
      <c r="J62" s="216"/>
      <c r="K62" s="216"/>
      <c r="L62" s="216"/>
      <c r="M62" s="216"/>
      <c r="N62" s="216"/>
    </row>
    <row r="63" customFormat="false" ht="12" hidden="false" customHeight="false" outlineLevel="0" collapsed="false">
      <c r="A63" s="245"/>
      <c r="B63" s="216"/>
      <c r="C63" s="200"/>
      <c r="D63" s="200"/>
      <c r="E63" s="216"/>
      <c r="F63" s="216"/>
      <c r="G63" s="216"/>
      <c r="H63" s="216"/>
      <c r="I63" s="216"/>
      <c r="J63" s="216"/>
      <c r="K63" s="216"/>
      <c r="L63" s="216"/>
      <c r="M63" s="216"/>
      <c r="N63" s="216"/>
    </row>
    <row r="64" customFormat="false" ht="12" hidden="false" customHeight="false" outlineLevel="0" collapsed="false">
      <c r="A64" s="245"/>
      <c r="B64" s="216"/>
      <c r="C64" s="200"/>
      <c r="D64" s="200"/>
      <c r="E64" s="216"/>
      <c r="F64" s="216"/>
      <c r="G64" s="216"/>
      <c r="H64" s="216"/>
      <c r="I64" s="216"/>
      <c r="J64" s="216"/>
      <c r="K64" s="216"/>
      <c r="L64" s="216"/>
      <c r="M64" s="216"/>
      <c r="N64" s="216"/>
    </row>
    <row r="65" customFormat="false" ht="12" hidden="false" customHeight="false" outlineLevel="0" collapsed="false">
      <c r="A65" s="245"/>
      <c r="B65" s="216"/>
      <c r="C65" s="200"/>
      <c r="D65" s="200"/>
      <c r="E65" s="216"/>
      <c r="F65" s="216"/>
      <c r="G65" s="216"/>
      <c r="H65" s="216"/>
      <c r="I65" s="216"/>
      <c r="J65" s="216"/>
      <c r="K65" s="216"/>
      <c r="L65" s="216"/>
      <c r="M65" s="216"/>
      <c r="N65" s="216"/>
    </row>
    <row r="66" customFormat="false" ht="12" hidden="false" customHeight="false" outlineLevel="0" collapsed="false">
      <c r="A66" s="245"/>
      <c r="B66" s="216"/>
      <c r="C66" s="200"/>
      <c r="D66" s="200"/>
      <c r="E66" s="216"/>
      <c r="F66" s="216"/>
      <c r="G66" s="216"/>
      <c r="H66" s="216"/>
      <c r="I66" s="216"/>
      <c r="J66" s="216"/>
      <c r="K66" s="216"/>
      <c r="L66" s="216"/>
      <c r="M66" s="216"/>
      <c r="N66" s="216"/>
    </row>
    <row r="67" customFormat="false" ht="12" hidden="false" customHeight="false" outlineLevel="0" collapsed="false">
      <c r="A67" s="245"/>
      <c r="B67" s="216"/>
      <c r="C67" s="200"/>
      <c r="D67" s="200"/>
      <c r="E67" s="216"/>
      <c r="F67" s="216"/>
      <c r="G67" s="216"/>
      <c r="H67" s="216"/>
      <c r="I67" s="216"/>
      <c r="J67" s="216"/>
      <c r="K67" s="216"/>
      <c r="L67" s="216"/>
      <c r="M67" s="216"/>
      <c r="N67" s="216"/>
    </row>
    <row r="68" customFormat="false" ht="12" hidden="false" customHeight="false" outlineLevel="0" collapsed="false">
      <c r="A68" s="245"/>
      <c r="B68" s="216"/>
      <c r="C68" s="200"/>
      <c r="D68" s="200"/>
      <c r="E68" s="216"/>
      <c r="F68" s="216"/>
      <c r="G68" s="216"/>
      <c r="H68" s="216"/>
      <c r="I68" s="216"/>
      <c r="J68" s="216"/>
      <c r="K68" s="216"/>
      <c r="L68" s="216"/>
      <c r="M68" s="216"/>
      <c r="N68" s="216"/>
    </row>
    <row r="69" customFormat="false" ht="12" hidden="false" customHeight="false" outlineLevel="0" collapsed="false">
      <c r="A69" s="245"/>
      <c r="B69" s="216"/>
      <c r="C69" s="200"/>
      <c r="D69" s="200"/>
      <c r="E69" s="216"/>
      <c r="F69" s="216"/>
      <c r="G69" s="216"/>
      <c r="H69" s="216"/>
      <c r="I69" s="216"/>
      <c r="J69" s="216"/>
      <c r="K69" s="216"/>
      <c r="L69" s="216"/>
      <c r="M69" s="216"/>
      <c r="N69" s="216"/>
    </row>
    <row r="70" customFormat="false" ht="12" hidden="false" customHeight="false" outlineLevel="0" collapsed="false">
      <c r="A70" s="245"/>
      <c r="B70" s="216"/>
      <c r="C70" s="200"/>
      <c r="D70" s="200"/>
      <c r="E70" s="216"/>
      <c r="F70" s="216"/>
      <c r="G70" s="216"/>
      <c r="H70" s="216"/>
      <c r="I70" s="216"/>
      <c r="J70" s="216"/>
      <c r="K70" s="216"/>
      <c r="L70" s="216"/>
      <c r="M70" s="216"/>
      <c r="N70" s="216"/>
    </row>
    <row r="71" customFormat="false" ht="12" hidden="false" customHeight="false" outlineLevel="0" collapsed="false">
      <c r="A71" s="245"/>
      <c r="B71" s="216"/>
      <c r="C71" s="200"/>
      <c r="D71" s="200"/>
      <c r="E71" s="216"/>
      <c r="F71" s="216"/>
      <c r="G71" s="216"/>
      <c r="H71" s="216"/>
      <c r="I71" s="216"/>
      <c r="J71" s="216"/>
      <c r="K71" s="216"/>
      <c r="L71" s="216"/>
      <c r="M71" s="216"/>
      <c r="N71" s="216"/>
    </row>
    <row r="72" customFormat="false" ht="12" hidden="false" customHeight="false" outlineLevel="0" collapsed="false">
      <c r="A72" s="245"/>
      <c r="B72" s="216"/>
      <c r="C72" s="200"/>
      <c r="D72" s="200"/>
      <c r="E72" s="216"/>
      <c r="F72" s="216"/>
      <c r="G72" s="216"/>
      <c r="H72" s="216"/>
      <c r="I72" s="216"/>
      <c r="J72" s="216"/>
      <c r="K72" s="216"/>
      <c r="L72" s="216"/>
      <c r="M72" s="216"/>
      <c r="N72" s="216"/>
    </row>
    <row r="73" customFormat="false" ht="12" hidden="false" customHeight="false" outlineLevel="0" collapsed="false">
      <c r="A73" s="245"/>
      <c r="B73" s="216"/>
      <c r="C73" s="200"/>
      <c r="D73" s="200"/>
      <c r="E73" s="216"/>
      <c r="F73" s="216"/>
      <c r="G73" s="216"/>
      <c r="H73" s="216"/>
      <c r="I73" s="216"/>
      <c r="J73" s="216"/>
      <c r="K73" s="216"/>
      <c r="L73" s="216"/>
      <c r="M73" s="216"/>
      <c r="N73" s="216"/>
    </row>
    <row r="74" customFormat="false" ht="12" hidden="false" customHeight="false" outlineLevel="0" collapsed="false">
      <c r="A74" s="245"/>
      <c r="B74" s="216"/>
      <c r="C74" s="200"/>
      <c r="D74" s="200"/>
      <c r="E74" s="216"/>
      <c r="F74" s="216"/>
      <c r="G74" s="216"/>
      <c r="H74" s="216"/>
      <c r="I74" s="216"/>
      <c r="J74" s="216"/>
      <c r="K74" s="216"/>
      <c r="L74" s="216"/>
      <c r="M74" s="216"/>
      <c r="N74" s="216"/>
    </row>
    <row r="75" customFormat="false" ht="12" hidden="false" customHeight="false" outlineLevel="0" collapsed="false">
      <c r="A75" s="245"/>
      <c r="B75" s="216"/>
      <c r="C75" s="200"/>
      <c r="D75" s="200"/>
      <c r="E75" s="216"/>
      <c r="F75" s="216"/>
      <c r="G75" s="216"/>
      <c r="H75" s="216"/>
      <c r="I75" s="216"/>
      <c r="J75" s="216"/>
      <c r="K75" s="216"/>
      <c r="L75" s="216"/>
      <c r="M75" s="216"/>
      <c r="N75" s="216"/>
    </row>
  </sheetData>
  <mergeCells count="9">
    <mergeCell ref="E5:F5"/>
    <mergeCell ref="H5:L5"/>
    <mergeCell ref="H6:H7"/>
    <mergeCell ref="I6:I7"/>
    <mergeCell ref="J6:J7"/>
    <mergeCell ref="K6:K7"/>
    <mergeCell ref="L6:L7"/>
    <mergeCell ref="M6:M7"/>
    <mergeCell ref="N6:N7"/>
  </mergeCells>
  <printOptions headings="false" gridLines="false" gridLinesSet="true" horizontalCentered="false" verticalCentered="false"/>
  <pageMargins left="0.25" right="0.25" top="0.75" bottom="0.75" header="0.511811023622047" footer="0.3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&amp;L&amp;9Income Statements and GAAP Reconciliation&amp;C&amp;9Cisco Systems, Inc.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</TotalTime>
  <Application>LibreOffice/7.5.5.2$MacOSX_X86_64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2020-10-15T17:36:42Z</dcterms:created>
  <dc:creator>Colleen Link (colllink)</dc:creator>
  <dc:description/>
  <dc:language>en-US</dc:language>
  <cp:lastModifiedBy/>
  <cp:lastPrinted>2023-02-02T17:32:34Z</cp:lastPrinted>
  <dcterms:modified xsi:type="dcterms:W3CDTF">2023-10-17T15:09:22Z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HIDDEN_GRID_QUERY_LIST_4F35BF76-6C0D-4D9B-82B2-816C12CF3733">
    <vt:lpwstr>empty_477D106A-C0D6-4607-AEBD-E2C9D60EA279</vt:lpwstr>
  </property>
  <property fmtid="{D5CDD505-2E9C-101B-9397-08002B2CF9AE}" pid="3" name="SV_QUERY_LIST_4F35BF76-6C0D-4D9B-82B2-816C12CF3733">
    <vt:lpwstr>empty_477D106A-C0D6-4607-AEBD-E2C9D60EA279</vt:lpwstr>
  </property>
</Properties>
</file>