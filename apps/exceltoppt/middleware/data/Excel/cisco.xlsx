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dia/image1.jpeg" ContentType="image/jpe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s" sheetId="1" state="visible" r:id="rId2"/>
  </sheets>
  <definedNames>
    <definedName function="false" hidden="false" localSheetId="0" name="_xlnm.Print_Area" vbProcedure="false">'Income Statements'!$A$1:$U$59</definedName>
    <definedName function="false" hidden="false" name="sheet5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stupid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stupid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stupidwho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stupidwho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Utoo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wrn.Mfg._.Present.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wrn.Planning.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wrn.Planning1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wrn.Slides._.Part1." vbProcedure="false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function="false" hidden="false" name="wrn.Slides._.Part2." vbProcedure="false">{#N/A,#N/A,FALSE,"s12 Access Fam BSP";#N/A,#N/A,FALSE,"s13 WG";#N/A,#N/A,FALSE,"s14 Azlan BSP";#N/A,#N/A,FALSE,"s15 Access Stk Rotate";#N/A,#N/A,FALSE,"s16 WG Stk Rotate";#N/A,#N/A,FALSE,"s17.Avg Days POS"}</definedName>
    <definedName function="false" hidden="false" name="xsxz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yayaya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you" vbProcedure="false">{#N/A,#N/A,FALSE,"S1 Theatre Sum";#N/A,#N/A,FALSE,"S2 U.S. B.S.POS";#N/A,#N/A,FALSE,"S3 US POS";#N/A,#N/A,FALSE,"S4 Family POS";#N/A,#N/A,FALSE,"S5 Ship vs POS";#N/A,#N/A,FALSE,"S6 Top VAR"}</definedName>
    <definedName function="false" hidden="false" name="zdfdzfa" vbProcedure="false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function="false" hidden="false" name="Z_2DE5EA60_7A3A_11D2_AE76_0080C7A84E90_.wvu.Cols" vbProcedure="false">#REF!</definedName>
    <definedName function="false" hidden="false" name="Z_2DE5EA60_7A3A_11D2_AE76_0080C7A84E90_.wvu.PrintArea" vbProcedure="false">#REF!</definedName>
    <definedName function="false" hidden="false" name="Z_2DE5EA60_7A3A_11D2_AE76_0080C7A84E90_.wvu.Rows" vbProcedure="false">#REF!</definedName>
    <definedName function="false" hidden="false" name="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function="false" hidden="false" name="__st2" vbProcedure="false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<sst xmlns="http://schemas.openxmlformats.org/spreadsheetml/2006/main" count="80" uniqueCount="50">
  <si>
    <t xml:space="preserve">HISTORICAL FINANCIALS</t>
  </si>
  <si>
    <t xml:space="preserve">INCOME STATEMENTS</t>
  </si>
  <si>
    <t xml:space="preserve">(in millions, except per-share amounts)</t>
  </si>
  <si>
    <t xml:space="preserve">Notes (1) (2)</t>
  </si>
  <si>
    <t xml:space="preserve">GAAP</t>
  </si>
  <si>
    <t xml:space="preserve">NON-GAAP</t>
  </si>
  <si>
    <t xml:space="preserve">FY 2023</t>
  </si>
  <si>
    <t xml:space="preserve">Quarter Ended</t>
  </si>
  <si>
    <t xml:space="preserve">Year Ended</t>
  </si>
  <si>
    <t xml:space="preserve">October 29, 
2022</t>
  </si>
  <si>
    <t xml:space="preserve">January 28, 
2023</t>
  </si>
  <si>
    <t xml:space="preserve">April 29, 
2023</t>
  </si>
  <si>
    <t xml:space="preserve">July 29, 
2023</t>
  </si>
  <si>
    <t xml:space="preserve">REVENUE:</t>
  </si>
  <si>
    <t xml:space="preserve">Product</t>
  </si>
  <si>
    <t xml:space="preserve">Service</t>
  </si>
  <si>
    <t xml:space="preserve">   Total revenue</t>
  </si>
  <si>
    <t xml:space="preserve">COST OF SALES:</t>
  </si>
  <si>
    <t xml:space="preserve">Product (a) - (e) </t>
  </si>
  <si>
    <t xml:space="preserve">Service (a) &amp; (c)</t>
  </si>
  <si>
    <t xml:space="preserve">   Total cost of sales (a) - (e) </t>
  </si>
  <si>
    <r>
      <rPr>
        <b val="true"/>
        <sz val="10"/>
        <rFont val="Arial"/>
        <family val="2"/>
        <charset val="1"/>
      </rPr>
      <t xml:space="preserve">GROSS MARGIN </t>
    </r>
    <r>
      <rPr>
        <sz val="10"/>
        <rFont val="Arial"/>
        <family val="2"/>
        <charset val="1"/>
      </rPr>
      <t xml:space="preserve">(a) - (d)</t>
    </r>
  </si>
  <si>
    <t xml:space="preserve">Product gross margin percentage</t>
  </si>
  <si>
    <t xml:space="preserve">Service gross margin percentage</t>
  </si>
  <si>
    <t xml:space="preserve">Total gross margin percentage</t>
  </si>
  <si>
    <t xml:space="preserve">OPERATING EXPENSES:</t>
  </si>
  <si>
    <t xml:space="preserve">Research and development (a) &amp; (c)</t>
  </si>
  <si>
    <t xml:space="preserve">Sales and marketing (a), &amp; (c) &amp; (d)</t>
  </si>
  <si>
    <t xml:space="preserve">General and administrative (a), (c) &amp; (d)</t>
  </si>
  <si>
    <t xml:space="preserve">Amortization of purchased intangible assets (b)</t>
  </si>
  <si>
    <t xml:space="preserve">Restructuring and other charges (f)</t>
  </si>
  <si>
    <t xml:space="preserve">   Total operating expenses (a) - (f)</t>
  </si>
  <si>
    <t xml:space="preserve">Operating expense as a percentage of revenue</t>
  </si>
  <si>
    <r>
      <rPr>
        <b val="true"/>
        <sz val="10"/>
        <rFont val="Arial"/>
        <family val="2"/>
        <charset val="1"/>
      </rPr>
      <t xml:space="preserve">OPERATING INCOME </t>
    </r>
    <r>
      <rPr>
        <sz val="10"/>
        <rFont val="Arial"/>
        <family val="2"/>
        <charset val="1"/>
      </rPr>
      <t xml:space="preserve">(a) - (f)</t>
    </r>
  </si>
  <si>
    <t xml:space="preserve">Operating income as a percentage of revenue</t>
  </si>
  <si>
    <t xml:space="preserve">Interest income</t>
  </si>
  <si>
    <t xml:space="preserve">Interest expense</t>
  </si>
  <si>
    <t xml:space="preserve"> </t>
  </si>
  <si>
    <t xml:space="preserve">   Interest and other income (loss), net</t>
  </si>
  <si>
    <r>
      <rPr>
        <b val="true"/>
        <sz val="10"/>
        <rFont val="Arial"/>
        <family val="2"/>
        <charset val="1"/>
      </rPr>
      <t xml:space="preserve">INCOME BEFORE PROVISION FOR INCOME TAXES </t>
    </r>
    <r>
      <rPr>
        <sz val="10"/>
        <rFont val="Arial"/>
        <family val="2"/>
        <charset val="1"/>
      </rPr>
      <t xml:space="preserve">(a) - (g)</t>
    </r>
  </si>
  <si>
    <t xml:space="preserve">Provision for income taxes (h) - (i)</t>
  </si>
  <si>
    <r>
      <rPr>
        <b val="true"/>
        <sz val="10"/>
        <rFont val="Arial"/>
        <family val="2"/>
        <charset val="1"/>
      </rPr>
      <t xml:space="preserve">NET INCOME </t>
    </r>
    <r>
      <rPr>
        <sz val="10"/>
        <rFont val="Arial"/>
        <family val="2"/>
        <charset val="1"/>
      </rPr>
      <t xml:space="preserve">(a) - (i)</t>
    </r>
  </si>
  <si>
    <t xml:space="preserve">Net income per share:</t>
  </si>
  <si>
    <t xml:space="preserve">Basic (a) - (i)</t>
  </si>
  <si>
    <t xml:space="preserve">Diluted (a) - (i)</t>
  </si>
  <si>
    <t xml:space="preserve">Shares used in per-share calculation:</t>
  </si>
  <si>
    <t xml:space="preserve">Basic</t>
  </si>
  <si>
    <t xml:space="preserve">Diluted </t>
  </si>
  <si>
    <t xml:space="preserve">Cash dividends declared per common share</t>
  </si>
  <si>
    <t xml:space="preserve">Cisco's non-GAAP measures are not in accordance with, or an alternative for, generally accepted accounting principles and may be different from non-GAAP measures used by other companies. In addition, the above non-GAAP Consolidated Statements of Operations are not based on a comprehensive set of accounting rules or principles.  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</si>
</sst>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\$* #,##0.00_);_(\$* \(#,##0.00\);_(\$* \-??_);_(@_)"/>
    <numFmt numFmtId="166" formatCode="0%"/>
    <numFmt numFmtId="167" formatCode="0"/>
    <numFmt numFmtId="168" formatCode="#,##0_);\(#,##0\)"/>
    <numFmt numFmtId="169" formatCode="_(* #,##0_);_(* \(#,##0\);_(* \-??_);_(@_)"/>
    <numFmt numFmtId="170" formatCode="[$-409]mmmm\ d&quot;, &quot;yyyy;@"/>
    <numFmt numFmtId="171" formatCode="\$#,##0_);[RED]&quot;($&quot;#,##0\)"/>
    <numFmt numFmtId="172" formatCode="_(\$* #,##0_);_(\$* \(#,##0\);_(\$* \-??_);_(@_)"/>
    <numFmt numFmtId="173" formatCode="_(* #,##0_);_(* \(#,##0\);_(* \-_);_(@_)"/>
    <numFmt numFmtId="174" formatCode="_(* #,##0.00_);_(* \(#,##0.00\);_(* \-??_);_(@_)"/>
    <numFmt numFmtId="175" formatCode="0.0%"/>
    <numFmt numFmtId="176" formatCode="@"/>
    <numFmt numFmtId="177" formatCode="#,##0_);[RED]\(#,##0\)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Geneva"/>
      <family val="2"/>
      <charset val="1"/>
    </font>
    <font>
      <sz val="10"/>
      <color rgb="FFFF0000"/>
      <name val="Arial"/>
      <family val="2"/>
      <charset val="1"/>
    </font>
    <font>
      <i val="true"/>
      <sz val="9"/>
      <name val="Arial"/>
      <family val="2"/>
      <charset val="1"/>
    </font>
    <font>
      <sz val="9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9"/>
      <color rgb="FFFF000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4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4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7" fontId="5" fillId="3" borderId="0" xfId="21" applyFont="true" applyBorder="false" applyAlignment="true" applyProtection="true">
      <alignment horizontal="left" vertical="center" textRotation="0" wrapText="false" indent="12" shrinkToFit="false"/>
      <protection locked="fals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7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21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21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0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0" fontId="6" fillId="3" borderId="6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7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3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3" borderId="0" xfId="21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1" fontId="10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3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3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3" borderId="0" xfId="21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75" fontId="11" fillId="3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1" fillId="3" borderId="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1" fillId="3" borderId="0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1" applyFont="true" applyBorder="false" applyAlignment="true" applyProtection="true">
      <alignment horizontal="left" vertical="bottom" textRotation="0" wrapText="false" indent="4" shrinkToFit="false"/>
      <protection locked="true" hidden="false"/>
    </xf>
    <xf numFmtId="164" fontId="13" fillId="3" borderId="0" xfId="21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75" fontId="14" fillId="3" borderId="4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4" fillId="3" borderId="5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3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0" fillId="3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4" fillId="3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1" applyFont="true" applyBorder="false" applyAlignment="true" applyProtection="true">
      <alignment horizontal="left" vertical="bottom" textRotation="0" wrapText="false" indent="3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3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6" fontId="4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4" fillId="3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4" fillId="3" borderId="1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3" borderId="9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5" fillId="3" borderId="1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0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0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7" fontId="10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0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5" fillId="0" borderId="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5" fillId="0" borderId="5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3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4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0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4" borderId="5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5" fillId="0" borderId="6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15" fillId="0" borderId="7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3" borderId="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4" borderId="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0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 2" xfId="20"/>
    <cellStyle name="Normal 32" xfId="21"/>
    <cellStyle name="Percent 2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79200</xdr:colOff>
      <xdr:row>0</xdr:row>
      <xdr:rowOff>79200</xdr:rowOff>
    </xdr:from>
    <xdr:to>
      <xdr:col>0</xdr:col>
      <xdr:colOff>649440</xdr:colOff>
      <xdr:row>2</xdr:row>
      <xdr:rowOff>36720</xdr:rowOff>
    </xdr:to>
    <xdr:pic>
      <xdr:nvPicPr>
        <xdr:cNvPr id="0" name="Image - Image1.jpeg" descr=""/>
        <xdr:cNvPicPr/>
      </xdr:nvPicPr>
      <xdr:blipFill>
        <a:blip r:embed="rId1"/>
        <a:stretch/>
      </xdr:blipFill>
      <xdr:spPr>
        <a:xfrm>
          <a:off x="79200" y="79200"/>
          <a:ext cx="570240" cy="319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M7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37" activeCellId="0" sqref="A37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24.73"/>
    <col collapsed="false" customWidth="true" hidden="false" outlineLevel="0" max="2" min="2" style="1" width="49.18"/>
    <col collapsed="false" customWidth="true" hidden="false" outlineLevel="0" max="3" min="3" style="1" width="18.18"/>
    <col collapsed="false" customWidth="true" hidden="false" outlineLevel="0" max="4" min="4" style="1" width="1.54"/>
    <col collapsed="false" customWidth="true" hidden="false" outlineLevel="0" max="5" min="5" style="1" width="18.18"/>
    <col collapsed="false" customWidth="true" hidden="false" outlineLevel="0" max="6" min="6" style="1" width="1.54"/>
    <col collapsed="false" customWidth="true" hidden="false" outlineLevel="0" max="7" min="7" style="1" width="18.18"/>
    <col collapsed="false" customWidth="true" hidden="false" outlineLevel="0" max="8" min="8" style="1" width="1.54"/>
    <col collapsed="false" customWidth="true" hidden="false" outlineLevel="0" max="9" min="9" style="1" width="18.18"/>
    <col collapsed="false" customWidth="true" hidden="false" outlineLevel="0" max="10" min="10" style="1" width="1.54"/>
    <col collapsed="false" customWidth="true" hidden="false" outlineLevel="0" max="11" min="11" style="1" width="18.18"/>
    <col collapsed="false" customWidth="true" hidden="false" outlineLevel="0" max="12" min="12" style="1" width="1.54"/>
    <col collapsed="false" customWidth="true" hidden="false" outlineLevel="0" max="13" min="13" style="1" width="18.18"/>
    <col collapsed="false" customWidth="true" hidden="false" outlineLevel="0" max="14" min="14" style="1" width="1.54"/>
    <col collapsed="false" customWidth="true" hidden="false" outlineLevel="0" max="15" min="15" style="1" width="18.18"/>
    <col collapsed="false" customWidth="true" hidden="false" outlineLevel="0" max="16" min="16" style="1" width="1.54"/>
    <col collapsed="false" customWidth="true" hidden="false" outlineLevel="0" max="17" min="17" style="1" width="18.18"/>
    <col collapsed="false" customWidth="true" hidden="false" outlineLevel="0" max="18" min="18" style="1" width="1.54"/>
    <col collapsed="false" customWidth="true" hidden="false" outlineLevel="0" max="19" min="19" style="1" width="18.18"/>
    <col collapsed="false" customWidth="true" hidden="false" outlineLevel="0" max="20" min="20" style="1" width="1.54"/>
    <col collapsed="false" customWidth="true" hidden="false" outlineLevel="0" max="21" min="21" style="1" width="18.18"/>
    <col collapsed="false" customWidth="true" hidden="false" outlineLevel="0" max="22" min="22" style="1" width="1.54"/>
    <col collapsed="false" customWidth="true" hidden="false" outlineLevel="0" max="23" min="23" style="1" width="18.18"/>
    <col collapsed="false" customWidth="true" hidden="false" outlineLevel="0" max="24" min="24" style="1" width="1.54"/>
    <col collapsed="false" customWidth="true" hidden="false" outlineLevel="0" max="26" min="25" style="1" width="18.18"/>
    <col collapsed="false" customWidth="true" hidden="false" outlineLevel="0" max="27" min="27" style="1" width="1.54"/>
    <col collapsed="false" customWidth="true" hidden="false" outlineLevel="0" max="29" min="28" style="1" width="18.18"/>
  </cols>
  <sheetData>
    <row r="1" customFormat="false" ht="14.25" hidden="false" customHeight="false" outlineLevel="0" collapsed="false">
      <c r="A1" s="2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4"/>
      <c r="W1" s="4"/>
      <c r="X1" s="5"/>
      <c r="Y1" s="4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customFormat="false" ht="14.25" hidden="false" customHeight="false" outlineLevel="0" collapsed="false">
      <c r="A2" s="2" t="s">
        <v>1</v>
      </c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4"/>
      <c r="W2" s="4"/>
      <c r="X2" s="5"/>
      <c r="Y2" s="4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customFormat="false" ht="14.25" hidden="false" customHeight="false" outlineLevel="0" collapsed="false">
      <c r="A3" s="7" t="s">
        <v>2</v>
      </c>
      <c r="B3" s="7"/>
      <c r="C3" s="7"/>
      <c r="D3" s="3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4"/>
      <c r="W3" s="8"/>
      <c r="X3" s="5"/>
      <c r="Y3" s="8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customFormat="false" ht="14.25" hidden="false" customHeight="false" outlineLevel="0" collapsed="false">
      <c r="A4" s="9"/>
      <c r="B4" s="9"/>
      <c r="C4" s="6"/>
      <c r="D4" s="6"/>
      <c r="E4" s="6"/>
      <c r="G4" s="10"/>
      <c r="I4" s="10"/>
      <c r="K4" s="10"/>
      <c r="M4" s="10"/>
      <c r="O4" s="10"/>
      <c r="Q4" s="10"/>
      <c r="S4" s="10"/>
      <c r="U4" s="10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customFormat="false" ht="14.25" hidden="false" customHeight="false" outlineLevel="0" collapsed="false">
      <c r="A5" s="11"/>
      <c r="B5" s="11"/>
      <c r="C5" s="12" t="s">
        <v>3</v>
      </c>
      <c r="D5" s="13"/>
      <c r="E5" s="14" t="s">
        <v>3</v>
      </c>
      <c r="G5" s="15" t="s">
        <v>3</v>
      </c>
      <c r="H5" s="13"/>
      <c r="I5" s="16" t="s">
        <v>3</v>
      </c>
      <c r="K5" s="15" t="s">
        <v>3</v>
      </c>
      <c r="L5" s="13"/>
      <c r="M5" s="16" t="s">
        <v>3</v>
      </c>
      <c r="O5" s="15" t="s">
        <v>3</v>
      </c>
      <c r="P5" s="13"/>
      <c r="Q5" s="16" t="s">
        <v>3</v>
      </c>
      <c r="S5" s="15" t="s">
        <v>3</v>
      </c>
      <c r="T5" s="13"/>
      <c r="U5" s="16" t="s">
        <v>3</v>
      </c>
      <c r="V5" s="5"/>
      <c r="W5" s="17"/>
      <c r="X5" s="5"/>
      <c r="Y5" s="17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customFormat="false" ht="14.25" hidden="false" customHeight="false" outlineLevel="0" collapsed="false">
      <c r="A6" s="11"/>
      <c r="B6" s="11"/>
      <c r="C6" s="18" t="s">
        <v>4</v>
      </c>
      <c r="D6" s="19"/>
      <c r="E6" s="20" t="s">
        <v>5</v>
      </c>
      <c r="F6" s="21"/>
      <c r="G6" s="22" t="s">
        <v>4</v>
      </c>
      <c r="H6" s="19"/>
      <c r="I6" s="23" t="s">
        <v>5</v>
      </c>
      <c r="J6" s="21"/>
      <c r="K6" s="22" t="s">
        <v>4</v>
      </c>
      <c r="L6" s="19"/>
      <c r="M6" s="23" t="s">
        <v>5</v>
      </c>
      <c r="N6" s="21"/>
      <c r="O6" s="22" t="s">
        <v>4</v>
      </c>
      <c r="P6" s="19"/>
      <c r="Q6" s="23" t="s">
        <v>5</v>
      </c>
      <c r="R6" s="21"/>
      <c r="S6" s="22" t="s">
        <v>4</v>
      </c>
      <c r="T6" s="19"/>
      <c r="U6" s="23" t="s">
        <v>5</v>
      </c>
      <c r="V6" s="24"/>
      <c r="W6" s="25"/>
      <c r="X6" s="5"/>
      <c r="Y6" s="25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customFormat="false" ht="19.5" hidden="false" customHeight="true" outlineLevel="0" collapsed="false">
      <c r="A7" s="26"/>
      <c r="B7" s="26"/>
      <c r="C7" s="27" t="s">
        <v>6</v>
      </c>
      <c r="D7" s="19"/>
      <c r="E7" s="28" t="str">
        <f aca="false">$C7</f>
        <v>FY 2023</v>
      </c>
      <c r="F7" s="29"/>
      <c r="G7" s="30" t="s">
        <v>6</v>
      </c>
      <c r="H7" s="19"/>
      <c r="I7" s="31" t="str">
        <f aca="false">$C7</f>
        <v>FY 2023</v>
      </c>
      <c r="J7" s="29"/>
      <c r="K7" s="30" t="s">
        <v>6</v>
      </c>
      <c r="L7" s="19"/>
      <c r="M7" s="31" t="str">
        <f aca="false">$C7</f>
        <v>FY 2023</v>
      </c>
      <c r="N7" s="29"/>
      <c r="O7" s="30" t="s">
        <v>6</v>
      </c>
      <c r="P7" s="19"/>
      <c r="Q7" s="31" t="str">
        <f aca="false">$C7</f>
        <v>FY 2023</v>
      </c>
      <c r="R7" s="29"/>
      <c r="S7" s="30" t="s">
        <v>6</v>
      </c>
      <c r="T7" s="19"/>
      <c r="U7" s="31" t="str">
        <f aca="false">$C7</f>
        <v>FY 2023</v>
      </c>
      <c r="V7" s="32"/>
      <c r="W7" s="33"/>
      <c r="X7" s="5"/>
      <c r="Y7" s="33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customFormat="false" ht="14.25" hidden="false" customHeight="false" outlineLevel="0" collapsed="false">
      <c r="A8" s="11"/>
      <c r="B8" s="11"/>
      <c r="C8" s="34" t="s">
        <v>7</v>
      </c>
      <c r="D8" s="19"/>
      <c r="E8" s="35" t="str">
        <f aca="false">C8</f>
        <v>Quarter Ended</v>
      </c>
      <c r="F8" s="29"/>
      <c r="G8" s="36" t="s">
        <v>7</v>
      </c>
      <c r="H8" s="19"/>
      <c r="I8" s="37" t="str">
        <f aca="false">G8</f>
        <v>Quarter Ended</v>
      </c>
      <c r="J8" s="29"/>
      <c r="K8" s="36" t="s">
        <v>7</v>
      </c>
      <c r="L8" s="19"/>
      <c r="M8" s="37" t="str">
        <f aca="false">K8</f>
        <v>Quarter Ended</v>
      </c>
      <c r="N8" s="29"/>
      <c r="O8" s="36" t="s">
        <v>7</v>
      </c>
      <c r="P8" s="19"/>
      <c r="Q8" s="37" t="str">
        <f aca="false">O8</f>
        <v>Quarter Ended</v>
      </c>
      <c r="R8" s="29"/>
      <c r="S8" s="36" t="s">
        <v>8</v>
      </c>
      <c r="T8" s="19"/>
      <c r="U8" s="37" t="str">
        <f aca="false">S8</f>
        <v>Year Ended</v>
      </c>
      <c r="V8" s="32"/>
      <c r="W8" s="38"/>
      <c r="X8" s="5"/>
      <c r="Y8" s="38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="6" customFormat="true" ht="25.5" hidden="false" customHeight="false" outlineLevel="0" collapsed="false">
      <c r="A9" s="39"/>
      <c r="B9" s="39"/>
      <c r="C9" s="40" t="s">
        <v>9</v>
      </c>
      <c r="D9" s="41"/>
      <c r="E9" s="42" t="s">
        <v>9</v>
      </c>
      <c r="F9" s="29"/>
      <c r="G9" s="43" t="s">
        <v>10</v>
      </c>
      <c r="H9" s="29"/>
      <c r="I9" s="44" t="s">
        <v>10</v>
      </c>
      <c r="J9" s="29"/>
      <c r="K9" s="43" t="s">
        <v>11</v>
      </c>
      <c r="L9" s="29"/>
      <c r="M9" s="44" t="s">
        <v>11</v>
      </c>
      <c r="N9" s="29"/>
      <c r="O9" s="43" t="s">
        <v>12</v>
      </c>
      <c r="P9" s="29"/>
      <c r="Q9" s="44" t="s">
        <v>12</v>
      </c>
      <c r="R9" s="29"/>
      <c r="S9" s="43" t="s">
        <v>12</v>
      </c>
      <c r="T9" s="29"/>
      <c r="U9" s="44" t="s">
        <v>12</v>
      </c>
      <c r="V9" s="32"/>
      <c r="W9" s="45"/>
      <c r="X9" s="32"/>
      <c r="Y9" s="45"/>
    </row>
    <row r="10" customFormat="false" ht="14.25" hidden="false" customHeight="false" outlineLevel="0" collapsed="false">
      <c r="A10" s="46" t="s">
        <v>13</v>
      </c>
      <c r="B10" s="5"/>
      <c r="C10" s="47"/>
      <c r="D10" s="48"/>
      <c r="E10" s="49"/>
      <c r="G10" s="50"/>
      <c r="I10" s="51"/>
      <c r="K10" s="50"/>
      <c r="M10" s="51"/>
      <c r="O10" s="50"/>
      <c r="Q10" s="51"/>
      <c r="S10" s="50"/>
      <c r="U10" s="51"/>
      <c r="V10" s="5"/>
      <c r="W10" s="52"/>
      <c r="X10" s="5"/>
      <c r="Y10" s="52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customFormat="false" ht="14.25" hidden="false" customHeight="false" outlineLevel="0" collapsed="false">
      <c r="A11" s="5"/>
      <c r="B11" s="5" t="s">
        <v>14</v>
      </c>
      <c r="C11" s="53" t="n">
        <v>10245</v>
      </c>
      <c r="D11" s="6"/>
      <c r="E11" s="54" t="n">
        <v>10245</v>
      </c>
      <c r="G11" s="53" t="n">
        <v>10155</v>
      </c>
      <c r="H11" s="10"/>
      <c r="I11" s="54" t="n">
        <v>10155</v>
      </c>
      <c r="J11" s="55"/>
      <c r="K11" s="53" t="n">
        <v>11092</v>
      </c>
      <c r="L11" s="10"/>
      <c r="M11" s="54" t="n">
        <v>11092</v>
      </c>
      <c r="N11" s="55"/>
      <c r="O11" s="53" t="n">
        <v>11650</v>
      </c>
      <c r="P11" s="10"/>
      <c r="Q11" s="54" t="n">
        <v>11650</v>
      </c>
      <c r="R11" s="55"/>
      <c r="S11" s="53" t="n">
        <f aca="false">K11+O11+G11+C11</f>
        <v>43142</v>
      </c>
      <c r="T11" s="10"/>
      <c r="U11" s="54" t="n">
        <f aca="false">M11+Q11+E11+I11</f>
        <v>43142</v>
      </c>
      <c r="V11" s="5"/>
      <c r="W11" s="56"/>
      <c r="X11" s="5"/>
      <c r="Y11" s="5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4.25" hidden="false" customHeight="false" outlineLevel="0" collapsed="false">
      <c r="A12" s="5"/>
      <c r="B12" s="5" t="s">
        <v>15</v>
      </c>
      <c r="C12" s="57" t="n">
        <v>3387</v>
      </c>
      <c r="D12" s="6"/>
      <c r="E12" s="58" t="n">
        <v>3387</v>
      </c>
      <c r="G12" s="57" t="n">
        <v>3437</v>
      </c>
      <c r="H12" s="10"/>
      <c r="I12" s="58" t="n">
        <v>3437</v>
      </c>
      <c r="J12" s="55"/>
      <c r="K12" s="57" t="n">
        <v>3479</v>
      </c>
      <c r="L12" s="10"/>
      <c r="M12" s="58" t="n">
        <v>3479</v>
      </c>
      <c r="N12" s="55"/>
      <c r="O12" s="57" t="n">
        <v>3553</v>
      </c>
      <c r="P12" s="10"/>
      <c r="Q12" s="58" t="n">
        <v>3553</v>
      </c>
      <c r="R12" s="55"/>
      <c r="S12" s="57" t="n">
        <f aca="false">K12+O12+G12+C12</f>
        <v>13856</v>
      </c>
      <c r="T12" s="10"/>
      <c r="U12" s="58" t="n">
        <f aca="false">M12+Q12+I12+E12</f>
        <v>13856</v>
      </c>
      <c r="V12" s="5"/>
      <c r="W12" s="59"/>
      <c r="X12" s="5"/>
      <c r="Y12" s="59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customFormat="false" ht="14.25" hidden="false" customHeight="false" outlineLevel="0" collapsed="false">
      <c r="A13" s="5"/>
      <c r="B13" s="5" t="s">
        <v>16</v>
      </c>
      <c r="C13" s="60" t="n">
        <f aca="false">SUM(C11:C12)</f>
        <v>13632</v>
      </c>
      <c r="D13" s="6"/>
      <c r="E13" s="61" t="n">
        <f aca="false">SUM(E11:E12)</f>
        <v>13632</v>
      </c>
      <c r="G13" s="60" t="n">
        <f aca="false">SUM(G11:G12)</f>
        <v>13592</v>
      </c>
      <c r="H13" s="10"/>
      <c r="I13" s="61" t="n">
        <f aca="false">SUM(I11:I12)</f>
        <v>13592</v>
      </c>
      <c r="J13" s="55"/>
      <c r="K13" s="60" t="n">
        <f aca="false">SUM(K11:K12)</f>
        <v>14571</v>
      </c>
      <c r="L13" s="10"/>
      <c r="M13" s="61" t="n">
        <f aca="false">SUM(M11:M12)</f>
        <v>14571</v>
      </c>
      <c r="N13" s="55"/>
      <c r="O13" s="60" t="n">
        <f aca="false">SUM(O11:O12)</f>
        <v>15203</v>
      </c>
      <c r="P13" s="10"/>
      <c r="Q13" s="61" t="n">
        <f aca="false">SUM(Q11:Q12)</f>
        <v>15203</v>
      </c>
      <c r="R13" s="55"/>
      <c r="S13" s="60" t="n">
        <f aca="false">SUM(S11:S12)</f>
        <v>56998</v>
      </c>
      <c r="T13" s="10"/>
      <c r="U13" s="61" t="n">
        <f aca="false">SUM(U11:U12)</f>
        <v>56998</v>
      </c>
      <c r="V13" s="5"/>
      <c r="W13" s="59"/>
      <c r="X13" s="5"/>
      <c r="Y13" s="59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customFormat="false" ht="6" hidden="false" customHeight="true" outlineLevel="0" collapsed="false">
      <c r="A14" s="5"/>
      <c r="B14" s="5"/>
      <c r="C14" s="62"/>
      <c r="D14" s="48"/>
      <c r="E14" s="63"/>
      <c r="G14" s="60"/>
      <c r="H14" s="10"/>
      <c r="I14" s="61"/>
      <c r="J14" s="55"/>
      <c r="K14" s="60"/>
      <c r="L14" s="10"/>
      <c r="M14" s="61"/>
      <c r="N14" s="55"/>
      <c r="O14" s="60"/>
      <c r="P14" s="10"/>
      <c r="Q14" s="61"/>
      <c r="R14" s="55"/>
      <c r="S14" s="60"/>
      <c r="T14" s="10"/>
      <c r="U14" s="61"/>
      <c r="V14" s="5"/>
      <c r="W14" s="59"/>
      <c r="X14" s="5"/>
      <c r="Y14" s="59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customFormat="false" ht="14.25" hidden="false" customHeight="false" outlineLevel="0" collapsed="false">
      <c r="A15" s="46" t="s">
        <v>17</v>
      </c>
      <c r="B15" s="5"/>
      <c r="C15" s="62"/>
      <c r="D15" s="48"/>
      <c r="E15" s="63"/>
      <c r="G15" s="60"/>
      <c r="H15" s="10"/>
      <c r="I15" s="61"/>
      <c r="J15" s="55"/>
      <c r="K15" s="60"/>
      <c r="L15" s="10"/>
      <c r="M15" s="61"/>
      <c r="N15" s="55"/>
      <c r="O15" s="60"/>
      <c r="P15" s="10"/>
      <c r="Q15" s="61"/>
      <c r="R15" s="55"/>
      <c r="S15" s="60"/>
      <c r="T15" s="10"/>
      <c r="U15" s="61"/>
      <c r="V15" s="5"/>
      <c r="W15" s="59"/>
      <c r="X15" s="5"/>
      <c r="Y15" s="59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customFormat="false" ht="14.25" hidden="false" customHeight="false" outlineLevel="0" collapsed="false">
      <c r="A16" s="5"/>
      <c r="B16" s="5" t="s">
        <v>18</v>
      </c>
      <c r="C16" s="60" t="n">
        <v>4179</v>
      </c>
      <c r="D16" s="6"/>
      <c r="E16" s="61" t="n">
        <v>3993</v>
      </c>
      <c r="G16" s="64" t="n">
        <v>4038</v>
      </c>
      <c r="H16" s="10"/>
      <c r="I16" s="61" t="n">
        <v>3844</v>
      </c>
      <c r="J16" s="55"/>
      <c r="K16" s="64" t="n">
        <v>4136</v>
      </c>
      <c r="L16" s="10"/>
      <c r="M16" s="61" t="n">
        <v>3939</v>
      </c>
      <c r="N16" s="55"/>
      <c r="O16" s="64" t="n">
        <v>4237</v>
      </c>
      <c r="P16" s="10"/>
      <c r="Q16" s="61" t="n">
        <v>4024</v>
      </c>
      <c r="R16" s="55"/>
      <c r="S16" s="64" t="n">
        <f aca="false">K16+O16+G16+C16</f>
        <v>16590</v>
      </c>
      <c r="T16" s="10"/>
      <c r="U16" s="61" t="n">
        <f aca="false">M16+Q16+I16+E16</f>
        <v>15800</v>
      </c>
      <c r="V16" s="5"/>
      <c r="W16" s="59"/>
      <c r="X16" s="5"/>
      <c r="Y16" s="59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customFormat="false" ht="14.25" hidden="false" customHeight="false" outlineLevel="0" collapsed="false">
      <c r="A17" s="5"/>
      <c r="B17" s="5" t="s">
        <v>19</v>
      </c>
      <c r="C17" s="57" t="n">
        <v>1107</v>
      </c>
      <c r="D17" s="6"/>
      <c r="E17" s="58" t="n">
        <v>1057</v>
      </c>
      <c r="G17" s="57" t="n">
        <v>1127</v>
      </c>
      <c r="H17" s="10"/>
      <c r="I17" s="58" t="n">
        <v>1061</v>
      </c>
      <c r="J17" s="55"/>
      <c r="K17" s="57" t="n">
        <v>1203</v>
      </c>
      <c r="L17" s="10"/>
      <c r="M17" s="58" t="n">
        <v>1137</v>
      </c>
      <c r="N17" s="55"/>
      <c r="O17" s="57" t="n">
        <v>1218</v>
      </c>
      <c r="P17" s="10"/>
      <c r="Q17" s="58" t="n">
        <v>1155</v>
      </c>
      <c r="R17" s="55"/>
      <c r="S17" s="57" t="n">
        <f aca="false">K17+O17+G17+C17</f>
        <v>4655</v>
      </c>
      <c r="T17" s="10"/>
      <c r="U17" s="58" t="n">
        <f aca="false">M17+Q17+I17+E17</f>
        <v>4410</v>
      </c>
      <c r="V17" s="5"/>
      <c r="W17" s="59"/>
      <c r="X17" s="5"/>
      <c r="Y17" s="59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customFormat="false" ht="14.25" hidden="false" customHeight="false" outlineLevel="0" collapsed="false">
      <c r="A18" s="5"/>
      <c r="B18" s="5" t="s">
        <v>20</v>
      </c>
      <c r="C18" s="60" t="n">
        <f aca="false">SUM(C16:C17)</f>
        <v>5286</v>
      </c>
      <c r="D18" s="6"/>
      <c r="E18" s="61" t="n">
        <f aca="false">SUM(E16:E17)</f>
        <v>5050</v>
      </c>
      <c r="G18" s="60" t="n">
        <f aca="false">SUM(G16:G17)</f>
        <v>5165</v>
      </c>
      <c r="H18" s="10"/>
      <c r="I18" s="61" t="n">
        <f aca="false">SUM(I16:I17)</f>
        <v>4905</v>
      </c>
      <c r="J18" s="55"/>
      <c r="K18" s="60" t="n">
        <f aca="false">SUM(K16:K17)</f>
        <v>5339</v>
      </c>
      <c r="L18" s="10"/>
      <c r="M18" s="61" t="n">
        <f aca="false">SUM(M16:M17)</f>
        <v>5076</v>
      </c>
      <c r="N18" s="55"/>
      <c r="O18" s="60" t="n">
        <f aca="false">SUM(O16:O17)</f>
        <v>5455</v>
      </c>
      <c r="P18" s="10"/>
      <c r="Q18" s="61" t="n">
        <f aca="false">SUM(Q16:Q17)</f>
        <v>5179</v>
      </c>
      <c r="R18" s="55"/>
      <c r="S18" s="60" t="n">
        <f aca="false">SUM(S16:S17)</f>
        <v>21245</v>
      </c>
      <c r="T18" s="10"/>
      <c r="U18" s="61" t="n">
        <f aca="false">SUM(U16:U17)</f>
        <v>20210</v>
      </c>
      <c r="V18" s="5"/>
      <c r="W18" s="59"/>
      <c r="X18" s="5"/>
      <c r="Y18" s="59"/>
      <c r="Z18" s="65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customFormat="false" ht="10.5" hidden="false" customHeight="true" outlineLevel="0" collapsed="false">
      <c r="A19" s="5"/>
      <c r="B19" s="5"/>
      <c r="C19" s="62"/>
      <c r="D19" s="48"/>
      <c r="E19" s="63"/>
      <c r="G19" s="60"/>
      <c r="H19" s="10"/>
      <c r="I19" s="61"/>
      <c r="J19" s="55"/>
      <c r="K19" s="60"/>
      <c r="L19" s="10"/>
      <c r="M19" s="61"/>
      <c r="N19" s="55"/>
      <c r="O19" s="60"/>
      <c r="P19" s="10"/>
      <c r="Q19" s="61"/>
      <c r="R19" s="55"/>
      <c r="S19" s="60"/>
      <c r="T19" s="10"/>
      <c r="U19" s="61"/>
      <c r="V19" s="5"/>
      <c r="W19" s="59"/>
      <c r="X19" s="5"/>
      <c r="Y19" s="59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customFormat="false" ht="14.25" hidden="false" customHeight="false" outlineLevel="0" collapsed="false">
      <c r="A20" s="46" t="s">
        <v>21</v>
      </c>
      <c r="B20" s="5"/>
      <c r="C20" s="66" t="n">
        <f aca="false">C13-C18</f>
        <v>8346</v>
      </c>
      <c r="D20" s="6"/>
      <c r="E20" s="67" t="n">
        <f aca="false">E13-E18</f>
        <v>8582</v>
      </c>
      <c r="G20" s="66" t="n">
        <f aca="false">G13-G18</f>
        <v>8427</v>
      </c>
      <c r="H20" s="10"/>
      <c r="I20" s="67" t="n">
        <f aca="false">I13-I18</f>
        <v>8687</v>
      </c>
      <c r="J20" s="55"/>
      <c r="K20" s="66" t="n">
        <f aca="false">K13-K18</f>
        <v>9232</v>
      </c>
      <c r="L20" s="10"/>
      <c r="M20" s="67" t="n">
        <f aca="false">M13-M18</f>
        <v>9495</v>
      </c>
      <c r="N20" s="55"/>
      <c r="O20" s="66" t="n">
        <f aca="false">O13-O18</f>
        <v>9748</v>
      </c>
      <c r="P20" s="10"/>
      <c r="Q20" s="67" t="n">
        <f aca="false">Q13-Q18</f>
        <v>10024</v>
      </c>
      <c r="R20" s="55"/>
      <c r="S20" s="66" t="n">
        <f aca="false">S13-S18</f>
        <v>35753</v>
      </c>
      <c r="T20" s="10"/>
      <c r="U20" s="67" t="n">
        <f aca="false">U13-U18</f>
        <v>36788</v>
      </c>
      <c r="V20" s="5"/>
      <c r="W20" s="68"/>
      <c r="X20" s="5"/>
      <c r="Y20" s="68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customFormat="false" ht="14.25" hidden="false" customHeight="false" outlineLevel="0" collapsed="false">
      <c r="A21" s="5"/>
      <c r="B21" s="69" t="s">
        <v>22</v>
      </c>
      <c r="C21" s="70" t="n">
        <f aca="false">(C11-C16)/C11</f>
        <v>0.592093704245974</v>
      </c>
      <c r="D21" s="71"/>
      <c r="E21" s="72" t="n">
        <f aca="false">(E11-E16)/E11</f>
        <v>0.610248901903367</v>
      </c>
      <c r="G21" s="70" t="n">
        <f aca="false">(G11-G16)/G11</f>
        <v>0.602363367799114</v>
      </c>
      <c r="H21" s="73"/>
      <c r="I21" s="72" t="n">
        <f aca="false">(I11-I16)/I11</f>
        <v>0.621467257508616</v>
      </c>
      <c r="J21" s="55"/>
      <c r="K21" s="70" t="n">
        <f aca="false">(K11-K16)/K11</f>
        <v>0.627118644067797</v>
      </c>
      <c r="L21" s="73"/>
      <c r="M21" s="72" t="n">
        <f aca="false">(M11-M16)/M11</f>
        <v>0.644879192210602</v>
      </c>
      <c r="N21" s="55"/>
      <c r="O21" s="70" t="n">
        <f aca="false">(O11-O16)/O11</f>
        <v>0.636309012875536</v>
      </c>
      <c r="P21" s="73"/>
      <c r="Q21" s="72" t="n">
        <f aca="false">(Q11-Q16)/Q11</f>
        <v>0.654592274678112</v>
      </c>
      <c r="R21" s="55"/>
      <c r="S21" s="70" t="n">
        <f aca="false">(S11-S16)/S11</f>
        <v>0.615455936210653</v>
      </c>
      <c r="T21" s="73"/>
      <c r="U21" s="72" t="n">
        <f aca="false">(U11-U16)/U11</f>
        <v>0.63376755829586</v>
      </c>
      <c r="V21" s="5"/>
      <c r="W21" s="74"/>
      <c r="X21" s="75"/>
      <c r="Y21" s="74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customFormat="false" ht="14.25" hidden="false" customHeight="false" outlineLevel="0" collapsed="false">
      <c r="A22" s="5"/>
      <c r="B22" s="69" t="s">
        <v>23</v>
      </c>
      <c r="C22" s="70" t="n">
        <f aca="false">(C12-C17)/C12</f>
        <v>0.673162090345438</v>
      </c>
      <c r="D22" s="71"/>
      <c r="E22" s="72" t="n">
        <f aca="false">(E12-E17)/E12</f>
        <v>0.687924416888102</v>
      </c>
      <c r="G22" s="70" t="n">
        <f aca="false">(G12-G17)/G12</f>
        <v>0.672097759674134</v>
      </c>
      <c r="H22" s="73"/>
      <c r="I22" s="72" t="n">
        <f aca="false">(I12-I17)/I12</f>
        <v>0.691300552807681</v>
      </c>
      <c r="J22" s="55"/>
      <c r="K22" s="70" t="n">
        <f aca="false">(K12-K17)/K12</f>
        <v>0.654210980166715</v>
      </c>
      <c r="L22" s="73"/>
      <c r="M22" s="72" t="n">
        <f aca="false">(M12-M17)/M12</f>
        <v>0.673181948835872</v>
      </c>
      <c r="N22" s="55"/>
      <c r="O22" s="70" t="n">
        <f aca="false">(O12-O17)/O12</f>
        <v>0.657191106107515</v>
      </c>
      <c r="P22" s="73"/>
      <c r="Q22" s="72" t="n">
        <f aca="false">(Q12-Q17)/Q12</f>
        <v>0.674922600619195</v>
      </c>
      <c r="R22" s="55"/>
      <c r="S22" s="70" t="n">
        <f aca="false">(S12-S17)/S12</f>
        <v>0.664044457274827</v>
      </c>
      <c r="T22" s="73"/>
      <c r="U22" s="72" t="n">
        <f aca="false">(U12-U17)/U12</f>
        <v>0.681726327944573</v>
      </c>
      <c r="V22" s="5"/>
      <c r="W22" s="74"/>
      <c r="X22" s="75"/>
      <c r="Y22" s="74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customFormat="false" ht="14.25" hidden="false" customHeight="false" outlineLevel="0" collapsed="false">
      <c r="A23" s="5"/>
      <c r="B23" s="76" t="s">
        <v>24</v>
      </c>
      <c r="C23" s="70" t="n">
        <f aca="false">(C13-C18)/C13</f>
        <v>0.612235915492958</v>
      </c>
      <c r="D23" s="71"/>
      <c r="E23" s="72" t="n">
        <f aca="false">(E13-E18)/E13</f>
        <v>0.629548122065728</v>
      </c>
      <c r="G23" s="70" t="n">
        <f aca="false">(G13-G18)/G13</f>
        <v>0.619997057092407</v>
      </c>
      <c r="H23" s="73"/>
      <c r="I23" s="72" t="n">
        <f aca="false">(I13-I18)/I13</f>
        <v>0.639125956444968</v>
      </c>
      <c r="J23" s="55"/>
      <c r="K23" s="70" t="n">
        <f aca="false">(K13-K18)/K13</f>
        <v>0.633587262370462</v>
      </c>
      <c r="L23" s="73"/>
      <c r="M23" s="72" t="n">
        <f aca="false">(M13-M18)/M13</f>
        <v>0.651636812847437</v>
      </c>
      <c r="N23" s="55"/>
      <c r="O23" s="70" t="n">
        <f aca="false">(O13-O18)/O13</f>
        <v>0.641189238965994</v>
      </c>
      <c r="P23" s="73"/>
      <c r="Q23" s="72" t="n">
        <f aca="false">(Q13-Q18)/Q13</f>
        <v>0.65934355061501</v>
      </c>
      <c r="R23" s="55"/>
      <c r="S23" s="70" t="n">
        <f aca="false">(S13-S18)/S13</f>
        <v>0.627267623425383</v>
      </c>
      <c r="T23" s="73"/>
      <c r="U23" s="72" t="n">
        <f aca="false">(U13-U18)/U13</f>
        <v>0.645426155303695</v>
      </c>
      <c r="V23" s="5"/>
      <c r="W23" s="74"/>
      <c r="X23" s="75"/>
      <c r="Y23" s="74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customFormat="false" ht="6" hidden="false" customHeight="true" outlineLevel="0" collapsed="false">
      <c r="A24" s="5"/>
      <c r="B24" s="77"/>
      <c r="C24" s="78"/>
      <c r="D24" s="48"/>
      <c r="E24" s="79"/>
      <c r="G24" s="70"/>
      <c r="H24" s="10"/>
      <c r="I24" s="72"/>
      <c r="J24" s="55"/>
      <c r="K24" s="70"/>
      <c r="L24" s="10"/>
      <c r="M24" s="72"/>
      <c r="N24" s="55"/>
      <c r="O24" s="70"/>
      <c r="P24" s="10"/>
      <c r="Q24" s="72"/>
      <c r="R24" s="55"/>
      <c r="S24" s="70"/>
      <c r="T24" s="10"/>
      <c r="U24" s="72"/>
      <c r="V24" s="5"/>
      <c r="W24" s="74"/>
      <c r="X24" s="5"/>
      <c r="Y24" s="74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customFormat="false" ht="14.25" hidden="false" customHeight="false" outlineLevel="0" collapsed="false">
      <c r="A25" s="46" t="s">
        <v>25</v>
      </c>
      <c r="B25" s="5"/>
      <c r="C25" s="80"/>
      <c r="D25" s="48"/>
      <c r="E25" s="81"/>
      <c r="G25" s="66"/>
      <c r="H25" s="10"/>
      <c r="I25" s="67"/>
      <c r="J25" s="55"/>
      <c r="K25" s="66"/>
      <c r="L25" s="10"/>
      <c r="M25" s="67"/>
      <c r="N25" s="55"/>
      <c r="O25" s="66"/>
      <c r="P25" s="10"/>
      <c r="Q25" s="67"/>
      <c r="R25" s="55"/>
      <c r="S25" s="66"/>
      <c r="T25" s="10"/>
      <c r="U25" s="67"/>
      <c r="V25" s="5"/>
      <c r="W25" s="68"/>
      <c r="X25" s="5"/>
      <c r="Y25" s="68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customFormat="false" ht="14.25" hidden="false" customHeight="false" outlineLevel="0" collapsed="false">
      <c r="A26" s="5"/>
      <c r="B26" s="82" t="s">
        <v>26</v>
      </c>
      <c r="C26" s="66" t="n">
        <v>1781</v>
      </c>
      <c r="D26" s="6"/>
      <c r="E26" s="67" t="n">
        <v>1510</v>
      </c>
      <c r="G26" s="66" t="n">
        <v>1855</v>
      </c>
      <c r="H26" s="10"/>
      <c r="I26" s="67" t="n">
        <v>1548</v>
      </c>
      <c r="J26" s="55"/>
      <c r="K26" s="66" t="n">
        <v>1962</v>
      </c>
      <c r="L26" s="10"/>
      <c r="M26" s="67" t="n">
        <v>1639</v>
      </c>
      <c r="N26" s="55"/>
      <c r="O26" s="66" t="n">
        <v>1953</v>
      </c>
      <c r="P26" s="10"/>
      <c r="Q26" s="67" t="n">
        <v>1639</v>
      </c>
      <c r="R26" s="55"/>
      <c r="S26" s="66" t="n">
        <f aca="false">K26+O26+G26+C26</f>
        <v>7551</v>
      </c>
      <c r="T26" s="10"/>
      <c r="U26" s="67" t="n">
        <f aca="false">M26+Q26+I26+E26</f>
        <v>6336</v>
      </c>
      <c r="V26" s="5"/>
      <c r="W26" s="59"/>
      <c r="X26" s="5"/>
      <c r="Y26" s="68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customFormat="false" ht="14.25" hidden="false" customHeight="false" outlineLevel="0" collapsed="false">
      <c r="A27" s="5"/>
      <c r="B27" s="82" t="s">
        <v>27</v>
      </c>
      <c r="C27" s="66" t="n">
        <v>2391</v>
      </c>
      <c r="D27" s="6"/>
      <c r="E27" s="67" t="n">
        <v>2237</v>
      </c>
      <c r="G27" s="66" t="n">
        <v>2384</v>
      </c>
      <c r="H27" s="10"/>
      <c r="I27" s="67" t="n">
        <v>2216</v>
      </c>
      <c r="J27" s="55"/>
      <c r="K27" s="66" t="n">
        <v>2526</v>
      </c>
      <c r="L27" s="10"/>
      <c r="M27" s="67" t="n">
        <v>2349</v>
      </c>
      <c r="N27" s="55"/>
      <c r="O27" s="66" t="n">
        <v>2579</v>
      </c>
      <c r="P27" s="10"/>
      <c r="Q27" s="67" t="n">
        <v>2399</v>
      </c>
      <c r="R27" s="55"/>
      <c r="S27" s="66" t="n">
        <f aca="false">K27+O27+G27+C27</f>
        <v>9880</v>
      </c>
      <c r="T27" s="10"/>
      <c r="U27" s="67" t="n">
        <f aca="false">M27+Q27+I27+E27</f>
        <v>9201</v>
      </c>
      <c r="V27" s="5"/>
      <c r="W27" s="68"/>
      <c r="X27" s="5"/>
      <c r="Y27" s="68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customFormat="false" ht="14.25" hidden="false" customHeight="false" outlineLevel="0" collapsed="false">
      <c r="A28" s="5"/>
      <c r="B28" s="82" t="s">
        <v>28</v>
      </c>
      <c r="C28" s="66" t="n">
        <v>565</v>
      </c>
      <c r="D28" s="6"/>
      <c r="E28" s="67" t="n">
        <v>497</v>
      </c>
      <c r="G28" s="66" t="n">
        <v>582</v>
      </c>
      <c r="H28" s="10"/>
      <c r="I28" s="67" t="n">
        <v>509</v>
      </c>
      <c r="J28" s="55"/>
      <c r="K28" s="66" t="n">
        <v>641</v>
      </c>
      <c r="L28" s="10"/>
      <c r="M28" s="67" t="n">
        <v>566</v>
      </c>
      <c r="N28" s="55"/>
      <c r="O28" s="66" t="n">
        <v>690</v>
      </c>
      <c r="P28" s="10"/>
      <c r="Q28" s="67" t="n">
        <v>608</v>
      </c>
      <c r="R28" s="55"/>
      <c r="S28" s="66" t="n">
        <f aca="false">K28+O28+G28+C28</f>
        <v>2478</v>
      </c>
      <c r="T28" s="10"/>
      <c r="U28" s="67" t="n">
        <f aca="false">M28+Q28+I28+E28</f>
        <v>2180</v>
      </c>
      <c r="V28" s="5"/>
      <c r="W28" s="68"/>
      <c r="X28" s="5"/>
      <c r="Y28" s="68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customFormat="false" ht="14.25" hidden="false" customHeight="false" outlineLevel="0" collapsed="false">
      <c r="A29" s="5"/>
      <c r="B29" s="82" t="s">
        <v>29</v>
      </c>
      <c r="C29" s="66" t="n">
        <v>71</v>
      </c>
      <c r="D29" s="6"/>
      <c r="E29" s="61" t="n">
        <v>0</v>
      </c>
      <c r="G29" s="66" t="n">
        <v>71</v>
      </c>
      <c r="H29" s="10"/>
      <c r="I29" s="61" t="n">
        <v>0</v>
      </c>
      <c r="J29" s="55"/>
      <c r="K29" s="66" t="n">
        <v>70</v>
      </c>
      <c r="L29" s="10"/>
      <c r="M29" s="61" t="n">
        <v>0</v>
      </c>
      <c r="N29" s="55"/>
      <c r="O29" s="66" t="n">
        <v>70</v>
      </c>
      <c r="P29" s="10"/>
      <c r="Q29" s="61" t="n">
        <v>0</v>
      </c>
      <c r="R29" s="55"/>
      <c r="S29" s="66" t="n">
        <f aca="false">K29+O29+G29+C29</f>
        <v>282</v>
      </c>
      <c r="T29" s="10"/>
      <c r="U29" s="61" t="n">
        <f aca="false">M29+Q29+I29+E29</f>
        <v>0</v>
      </c>
      <c r="V29" s="5"/>
      <c r="W29" s="68"/>
      <c r="X29" s="5"/>
      <c r="Y29" s="59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customFormat="false" ht="14.25" hidden="false" customHeight="false" outlineLevel="0" collapsed="false">
      <c r="A30" s="5"/>
      <c r="B30" s="82" t="s">
        <v>30</v>
      </c>
      <c r="C30" s="83" t="n">
        <v>-2</v>
      </c>
      <c r="D30" s="6"/>
      <c r="E30" s="58" t="n">
        <v>0</v>
      </c>
      <c r="G30" s="83" t="n">
        <v>243</v>
      </c>
      <c r="H30" s="10"/>
      <c r="I30" s="58" t="n">
        <v>0</v>
      </c>
      <c r="J30" s="55"/>
      <c r="K30" s="83" t="n">
        <v>87</v>
      </c>
      <c r="L30" s="10"/>
      <c r="M30" s="58" t="n">
        <v>0</v>
      </c>
      <c r="N30" s="55"/>
      <c r="O30" s="83" t="n">
        <v>203</v>
      </c>
      <c r="P30" s="10"/>
      <c r="Q30" s="58" t="n">
        <v>0</v>
      </c>
      <c r="R30" s="55"/>
      <c r="S30" s="83" t="n">
        <f aca="false">K30+O30+G30+C30</f>
        <v>531</v>
      </c>
      <c r="T30" s="10"/>
      <c r="U30" s="58" t="n">
        <f aca="false">M30+Q30+I30+E30</f>
        <v>0</v>
      </c>
      <c r="V30" s="5"/>
      <c r="W30" s="68"/>
      <c r="X30" s="5"/>
      <c r="Y30" s="59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customFormat="false" ht="14.25" hidden="false" customHeight="false" outlineLevel="0" collapsed="false">
      <c r="A31" s="5"/>
      <c r="B31" s="84" t="s">
        <v>31</v>
      </c>
      <c r="C31" s="66" t="n">
        <f aca="false">SUM(C26:C30)</f>
        <v>4806</v>
      </c>
      <c r="D31" s="6"/>
      <c r="E31" s="67" t="n">
        <f aca="false">SUM(E26:E30)</f>
        <v>4244</v>
      </c>
      <c r="G31" s="66" t="n">
        <f aca="false">SUM(G26:G30)</f>
        <v>5135</v>
      </c>
      <c r="H31" s="10"/>
      <c r="I31" s="67" t="n">
        <f aca="false">SUM(I26:I30)</f>
        <v>4273</v>
      </c>
      <c r="J31" s="55"/>
      <c r="K31" s="66" t="n">
        <f aca="false">SUM(K26:K30)</f>
        <v>5286</v>
      </c>
      <c r="L31" s="10"/>
      <c r="M31" s="67" t="n">
        <f aca="false">SUM(M26:M30)</f>
        <v>4554</v>
      </c>
      <c r="N31" s="55"/>
      <c r="O31" s="66" t="n">
        <f aca="false">SUM(O26:O30)</f>
        <v>5495</v>
      </c>
      <c r="P31" s="10"/>
      <c r="Q31" s="67" t="n">
        <f aca="false">SUM(Q26:Q30)</f>
        <v>4646</v>
      </c>
      <c r="R31" s="55"/>
      <c r="S31" s="66" t="n">
        <f aca="false">SUM(S26:S30)</f>
        <v>20722</v>
      </c>
      <c r="T31" s="10"/>
      <c r="U31" s="67" t="n">
        <f aca="false">SUM(U26:U30)</f>
        <v>17717</v>
      </c>
      <c r="V31" s="5"/>
      <c r="W31" s="68"/>
      <c r="X31" s="5"/>
      <c r="Y31" s="68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customFormat="false" ht="14.25" hidden="false" customHeight="false" outlineLevel="0" collapsed="false">
      <c r="A32" s="5"/>
      <c r="B32" s="69" t="s">
        <v>32</v>
      </c>
      <c r="C32" s="70" t="n">
        <f aca="false">C31/C13</f>
        <v>0.352552816901408</v>
      </c>
      <c r="D32" s="71"/>
      <c r="E32" s="72" t="n">
        <f aca="false">E31/E13</f>
        <v>0.311326291079812</v>
      </c>
      <c r="G32" s="70" t="n">
        <f aca="false">G31/G13</f>
        <v>0.377795762213067</v>
      </c>
      <c r="H32" s="73"/>
      <c r="I32" s="72" t="n">
        <f aca="false">I31/I13</f>
        <v>0.314376103590347</v>
      </c>
      <c r="J32" s="55"/>
      <c r="K32" s="70" t="n">
        <f aca="false">K31/K13</f>
        <v>0.362775375746346</v>
      </c>
      <c r="L32" s="73"/>
      <c r="M32" s="72" t="n">
        <f aca="false">M31/M13</f>
        <v>0.312538604076591</v>
      </c>
      <c r="N32" s="55"/>
      <c r="O32" s="70" t="n">
        <f aca="false">O31/O13</f>
        <v>0.361441820693284</v>
      </c>
      <c r="P32" s="73"/>
      <c r="Q32" s="72" t="n">
        <f aca="false">Q31/Q13</f>
        <v>0.305597579425113</v>
      </c>
      <c r="R32" s="55"/>
      <c r="S32" s="70" t="n">
        <f aca="false">S31/S13</f>
        <v>0.363556616021615</v>
      </c>
      <c r="T32" s="73"/>
      <c r="U32" s="72" t="n">
        <f aca="false">U31/U13</f>
        <v>0.310835467911155</v>
      </c>
      <c r="V32" s="5"/>
      <c r="W32" s="74"/>
      <c r="X32" s="75"/>
      <c r="Y32" s="74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customFormat="false" ht="15" hidden="false" customHeight="true" outlineLevel="0" collapsed="false">
      <c r="A33" s="5"/>
      <c r="B33" s="5"/>
      <c r="C33" s="62"/>
      <c r="D33" s="48"/>
      <c r="E33" s="81"/>
      <c r="G33" s="60"/>
      <c r="H33" s="10"/>
      <c r="I33" s="67"/>
      <c r="J33" s="55"/>
      <c r="K33" s="60"/>
      <c r="L33" s="10"/>
      <c r="M33" s="67"/>
      <c r="N33" s="55"/>
      <c r="O33" s="60"/>
      <c r="P33" s="10"/>
      <c r="Q33" s="67"/>
      <c r="R33" s="55"/>
      <c r="S33" s="60"/>
      <c r="T33" s="10"/>
      <c r="U33" s="67"/>
      <c r="V33" s="5"/>
      <c r="W33" s="59"/>
      <c r="X33" s="5"/>
      <c r="Y33" s="68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customFormat="false" ht="14.25" hidden="false" customHeight="false" outlineLevel="0" collapsed="false">
      <c r="A34" s="9" t="s">
        <v>33</v>
      </c>
      <c r="B34" s="5"/>
      <c r="C34" s="66" t="n">
        <f aca="false">C20-C31</f>
        <v>3540</v>
      </c>
      <c r="D34" s="6"/>
      <c r="E34" s="67" t="n">
        <f aca="false">E20-E31</f>
        <v>4338</v>
      </c>
      <c r="G34" s="66" t="n">
        <f aca="false">G20-G31</f>
        <v>3292</v>
      </c>
      <c r="H34" s="10"/>
      <c r="I34" s="67" t="n">
        <f aca="false">I20-I31</f>
        <v>4414</v>
      </c>
      <c r="J34" s="55"/>
      <c r="K34" s="66" t="n">
        <f aca="false">K20-K31</f>
        <v>3946</v>
      </c>
      <c r="L34" s="10"/>
      <c r="M34" s="67" t="n">
        <f aca="false">M20-M31</f>
        <v>4941</v>
      </c>
      <c r="N34" s="55"/>
      <c r="O34" s="66" t="n">
        <f aca="false">O20-O31</f>
        <v>4253</v>
      </c>
      <c r="P34" s="10"/>
      <c r="Q34" s="67" t="n">
        <f aca="false">Q20-Q31</f>
        <v>5378</v>
      </c>
      <c r="R34" s="55"/>
      <c r="S34" s="66" t="n">
        <f aca="false">S20-S31</f>
        <v>15031</v>
      </c>
      <c r="T34" s="10"/>
      <c r="U34" s="67" t="n">
        <f aca="false">U20-U31</f>
        <v>19071</v>
      </c>
      <c r="V34" s="5"/>
      <c r="W34" s="68"/>
      <c r="X34" s="5"/>
      <c r="Y34" s="68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customFormat="false" ht="14.25" hidden="false" customHeight="false" outlineLevel="0" collapsed="false">
      <c r="A35" s="85"/>
      <c r="B35" s="69" t="s">
        <v>34</v>
      </c>
      <c r="C35" s="70" t="n">
        <f aca="false">C34/C13</f>
        <v>0.259683098591549</v>
      </c>
      <c r="D35" s="71"/>
      <c r="E35" s="72" t="n">
        <f aca="false">E34/E13</f>
        <v>0.318221830985916</v>
      </c>
      <c r="G35" s="70" t="n">
        <f aca="false">G34/G13</f>
        <v>0.242201294879341</v>
      </c>
      <c r="H35" s="73"/>
      <c r="I35" s="72" t="n">
        <f aca="false">I34/I13</f>
        <v>0.32474985285462</v>
      </c>
      <c r="J35" s="55"/>
      <c r="K35" s="70" t="n">
        <f aca="false">K34/K13</f>
        <v>0.270811886624116</v>
      </c>
      <c r="L35" s="73"/>
      <c r="M35" s="72" t="n">
        <f aca="false">M34/M13</f>
        <v>0.339098208770846</v>
      </c>
      <c r="N35" s="55"/>
      <c r="O35" s="70" t="n">
        <f aca="false">O34/O13</f>
        <v>0.279747418272709</v>
      </c>
      <c r="P35" s="73"/>
      <c r="Q35" s="72" t="n">
        <f aca="false">Q34/Q13</f>
        <v>0.353745971189897</v>
      </c>
      <c r="R35" s="55"/>
      <c r="S35" s="70" t="n">
        <f aca="false">S34/S13</f>
        <v>0.263711007403769</v>
      </c>
      <c r="T35" s="73"/>
      <c r="U35" s="72" t="n">
        <f aca="false">U34/U13</f>
        <v>0.33459068739254</v>
      </c>
      <c r="V35" s="5"/>
      <c r="W35" s="74"/>
      <c r="X35" s="75"/>
      <c r="Y35" s="74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customFormat="false" ht="6" hidden="false" customHeight="true" outlineLevel="0" collapsed="false">
      <c r="A36" s="5"/>
      <c r="B36" s="5"/>
      <c r="C36" s="80"/>
      <c r="D36" s="48"/>
      <c r="E36" s="81"/>
      <c r="G36" s="80"/>
      <c r="H36" s="55"/>
      <c r="I36" s="81"/>
      <c r="J36" s="55"/>
      <c r="K36" s="80"/>
      <c r="L36" s="55"/>
      <c r="M36" s="81"/>
      <c r="N36" s="55"/>
      <c r="O36" s="80"/>
      <c r="P36" s="55"/>
      <c r="Q36" s="81"/>
      <c r="R36" s="55"/>
      <c r="S36" s="80"/>
      <c r="T36" s="55"/>
      <c r="U36" s="81"/>
      <c r="V36" s="5"/>
      <c r="W36" s="68"/>
      <c r="X36" s="5"/>
      <c r="Y36" s="68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customFormat="false" ht="13.8" hidden="false" customHeight="false" outlineLevel="0" collapsed="false">
      <c r="A37" s="82" t="s">
        <v>35</v>
      </c>
      <c r="B37" s="5"/>
      <c r="C37" s="66" t="n">
        <v>169</v>
      </c>
      <c r="D37" s="6"/>
      <c r="E37" s="67" t="n">
        <v>169</v>
      </c>
      <c r="G37" s="66" t="n">
        <v>219</v>
      </c>
      <c r="H37" s="10"/>
      <c r="I37" s="67" t="n">
        <v>219</v>
      </c>
      <c r="J37" s="10"/>
      <c r="K37" s="86" t="n">
        <v>262</v>
      </c>
      <c r="L37" s="10"/>
      <c r="M37" s="87" t="n">
        <v>262</v>
      </c>
      <c r="N37" s="10"/>
      <c r="O37" s="86" t="n">
        <v>312</v>
      </c>
      <c r="P37" s="10"/>
      <c r="Q37" s="87" t="n">
        <v>312</v>
      </c>
      <c r="R37" s="10"/>
      <c r="S37" s="86" t="n">
        <f aca="false">K37+O37+G37+C37</f>
        <v>962</v>
      </c>
      <c r="T37" s="10"/>
      <c r="U37" s="87" t="n">
        <f aca="false">M37+Q37+I37+E37</f>
        <v>962</v>
      </c>
      <c r="V37" s="5"/>
      <c r="W37" s="68"/>
      <c r="X37" s="5"/>
      <c r="Y37" s="68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customFormat="false" ht="13.8" hidden="false" customHeight="false" outlineLevel="0" collapsed="false">
      <c r="A38" s="82" t="s">
        <v>36</v>
      </c>
      <c r="B38" s="5"/>
      <c r="C38" s="66" t="n">
        <v>-100</v>
      </c>
      <c r="D38" s="6"/>
      <c r="E38" s="67" t="n">
        <v>-100</v>
      </c>
      <c r="G38" s="66" t="n">
        <v>-107</v>
      </c>
      <c r="H38" s="10"/>
      <c r="I38" s="67" t="n">
        <v>-107</v>
      </c>
      <c r="J38" s="10"/>
      <c r="K38" s="86" t="n">
        <v>-109</v>
      </c>
      <c r="L38" s="10"/>
      <c r="M38" s="87" t="n">
        <v>-109</v>
      </c>
      <c r="N38" s="10"/>
      <c r="O38" s="86" t="n">
        <v>-111</v>
      </c>
      <c r="P38" s="10"/>
      <c r="Q38" s="87" t="n">
        <v>-111</v>
      </c>
      <c r="R38" s="10"/>
      <c r="S38" s="86" t="n">
        <f aca="false">K38+O38+G38+C38</f>
        <v>-427</v>
      </c>
      <c r="T38" s="10"/>
      <c r="U38" s="87" t="n">
        <f aca="false">M38+Q38+I38+E38</f>
        <v>-427</v>
      </c>
      <c r="V38" s="5"/>
      <c r="W38" s="68"/>
      <c r="X38" s="5"/>
      <c r="Y38" s="68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customFormat="false" ht="14.25" hidden="false" customHeight="false" outlineLevel="0" collapsed="false">
      <c r="A39" s="5" t="s">
        <v>37</v>
      </c>
      <c r="B39" s="5"/>
      <c r="C39" s="83" t="n">
        <v>-134</v>
      </c>
      <c r="D39" s="6"/>
      <c r="E39" s="88" t="n">
        <v>-25</v>
      </c>
      <c r="G39" s="83" t="n">
        <v>11</v>
      </c>
      <c r="H39" s="10"/>
      <c r="I39" s="88" t="n">
        <v>-33</v>
      </c>
      <c r="J39" s="55"/>
      <c r="K39" s="89" t="n">
        <v>-142</v>
      </c>
      <c r="L39" s="10"/>
      <c r="M39" s="90" t="n">
        <v>-19</v>
      </c>
      <c r="N39" s="55"/>
      <c r="O39" s="89" t="n">
        <v>17</v>
      </c>
      <c r="P39" s="10"/>
      <c r="Q39" s="90" t="n">
        <v>-38</v>
      </c>
      <c r="R39" s="55"/>
      <c r="S39" s="89" t="n">
        <f aca="false">K39+O39+G39+C39</f>
        <v>-248</v>
      </c>
      <c r="T39" s="10"/>
      <c r="U39" s="90" t="n">
        <f aca="false">Q39+M39+I39+E39</f>
        <v>-115</v>
      </c>
      <c r="V39" s="5"/>
      <c r="W39" s="68"/>
      <c r="X39" s="5"/>
      <c r="Y39" s="68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customFormat="false" ht="14.25" hidden="false" customHeight="false" outlineLevel="0" collapsed="false">
      <c r="A40" s="5"/>
      <c r="B40" s="5" t="s">
        <v>38</v>
      </c>
      <c r="C40" s="66" t="n">
        <f aca="false">SUM(C37:C39)</f>
        <v>-65</v>
      </c>
      <c r="D40" s="6"/>
      <c r="E40" s="67" t="n">
        <f aca="false">SUM(E37:E39)</f>
        <v>44</v>
      </c>
      <c r="G40" s="66" t="n">
        <f aca="false">SUM(G37:G39)</f>
        <v>123</v>
      </c>
      <c r="H40" s="10"/>
      <c r="I40" s="67" t="n">
        <f aca="false">SUM(I37:I39)</f>
        <v>79</v>
      </c>
      <c r="J40" s="10"/>
      <c r="K40" s="66" t="n">
        <f aca="false">SUM(K37:K39)</f>
        <v>11</v>
      </c>
      <c r="L40" s="10"/>
      <c r="M40" s="67" t="n">
        <f aca="false">SUM(M37:M39)</f>
        <v>134</v>
      </c>
      <c r="N40" s="10"/>
      <c r="O40" s="66" t="n">
        <f aca="false">SUM(O37:O39)</f>
        <v>218</v>
      </c>
      <c r="P40" s="10"/>
      <c r="Q40" s="67" t="n">
        <f aca="false">SUM(Q37:Q39)</f>
        <v>163</v>
      </c>
      <c r="R40" s="10"/>
      <c r="S40" s="66" t="n">
        <f aca="false">SUM(S37:S39)</f>
        <v>287</v>
      </c>
      <c r="T40" s="10"/>
      <c r="U40" s="67" t="n">
        <f aca="false">SUM(U37:U39)</f>
        <v>420</v>
      </c>
      <c r="V40" s="5"/>
      <c r="W40" s="68"/>
      <c r="X40" s="5"/>
      <c r="Y40" s="68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customFormat="false" ht="10.5" hidden="false" customHeight="true" outlineLevel="0" collapsed="false">
      <c r="A41" s="5"/>
      <c r="B41" s="5"/>
      <c r="C41" s="62"/>
      <c r="D41" s="48"/>
      <c r="E41" s="63"/>
      <c r="G41" s="64"/>
      <c r="H41" s="10"/>
      <c r="I41" s="91"/>
      <c r="J41" s="55"/>
      <c r="K41" s="64"/>
      <c r="L41" s="10"/>
      <c r="M41" s="91"/>
      <c r="N41" s="55"/>
      <c r="O41" s="64"/>
      <c r="P41" s="10"/>
      <c r="Q41" s="91"/>
      <c r="R41" s="55"/>
      <c r="S41" s="64"/>
      <c r="T41" s="10"/>
      <c r="U41" s="91"/>
      <c r="V41" s="5"/>
      <c r="W41" s="59"/>
      <c r="X41" s="5"/>
      <c r="Y41" s="59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customFormat="false" ht="26.25" hidden="false" customHeight="true" outlineLevel="0" collapsed="false">
      <c r="A42" s="92" t="s">
        <v>39</v>
      </c>
      <c r="B42" s="92"/>
      <c r="C42" s="66" t="n">
        <f aca="false">C34+C40</f>
        <v>3475</v>
      </c>
      <c r="D42" s="6"/>
      <c r="E42" s="67" t="n">
        <f aca="false">E34+E40</f>
        <v>4382</v>
      </c>
      <c r="G42" s="86" t="n">
        <f aca="false">G34+G40</f>
        <v>3415</v>
      </c>
      <c r="H42" s="10"/>
      <c r="I42" s="87" t="n">
        <f aca="false">I34+I40</f>
        <v>4493</v>
      </c>
      <c r="J42" s="10"/>
      <c r="K42" s="86" t="n">
        <f aca="false">K34+K40</f>
        <v>3957</v>
      </c>
      <c r="L42" s="10"/>
      <c r="M42" s="87" t="n">
        <f aca="false">M34+M40</f>
        <v>5075</v>
      </c>
      <c r="N42" s="10"/>
      <c r="O42" s="86" t="n">
        <f aca="false">O34+O40</f>
        <v>4471</v>
      </c>
      <c r="P42" s="10"/>
      <c r="Q42" s="87" t="n">
        <f aca="false">Q34+Q40</f>
        <v>5541</v>
      </c>
      <c r="R42" s="10"/>
      <c r="S42" s="86" t="n">
        <f aca="false">S34+S40</f>
        <v>15318</v>
      </c>
      <c r="T42" s="10"/>
      <c r="U42" s="87" t="n">
        <f aca="false">U34+U40</f>
        <v>19491</v>
      </c>
      <c r="V42" s="5"/>
      <c r="W42" s="68"/>
      <c r="X42" s="5"/>
      <c r="Y42" s="68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customFormat="false" ht="10.5" hidden="false" customHeight="true" outlineLevel="0" collapsed="false">
      <c r="A43" s="5"/>
      <c r="B43" s="5"/>
      <c r="C43" s="60"/>
      <c r="D43" s="6"/>
      <c r="E43" s="61"/>
      <c r="G43" s="62"/>
      <c r="H43" s="55"/>
      <c r="I43" s="63"/>
      <c r="J43" s="55"/>
      <c r="K43" s="62"/>
      <c r="L43" s="55"/>
      <c r="M43" s="63"/>
      <c r="N43" s="55"/>
      <c r="O43" s="62"/>
      <c r="P43" s="55"/>
      <c r="Q43" s="63"/>
      <c r="R43" s="55"/>
      <c r="S43" s="62"/>
      <c r="T43" s="55"/>
      <c r="U43" s="63"/>
      <c r="V43" s="5"/>
      <c r="W43" s="59"/>
      <c r="X43" s="5"/>
      <c r="Y43" s="59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customFormat="false" ht="13.8" hidden="false" customHeight="false" outlineLevel="0" collapsed="false">
      <c r="A44" s="93" t="s">
        <v>40</v>
      </c>
      <c r="B44" s="5"/>
      <c r="C44" s="83" t="n">
        <v>805</v>
      </c>
      <c r="D44" s="6"/>
      <c r="E44" s="88" t="n">
        <v>833</v>
      </c>
      <c r="G44" s="83" t="n">
        <v>642</v>
      </c>
      <c r="H44" s="10"/>
      <c r="I44" s="88" t="n">
        <v>854</v>
      </c>
      <c r="J44" s="55"/>
      <c r="K44" s="83" t="n">
        <v>745</v>
      </c>
      <c r="L44" s="10"/>
      <c r="M44" s="88" t="n">
        <v>964</v>
      </c>
      <c r="N44" s="55"/>
      <c r="O44" s="89" t="n">
        <v>513</v>
      </c>
      <c r="P44" s="10"/>
      <c r="Q44" s="90" t="n">
        <v>861</v>
      </c>
      <c r="R44" s="55"/>
      <c r="S44" s="83" t="n">
        <f aca="false">K44+O44+G44+C44</f>
        <v>2705</v>
      </c>
      <c r="T44" s="10"/>
      <c r="U44" s="88" t="n">
        <f aca="false">M44+Q44+I44+E44</f>
        <v>3512</v>
      </c>
      <c r="V44" s="5"/>
      <c r="W44" s="68"/>
      <c r="X44" s="5"/>
      <c r="Y44" s="68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customFormat="false" ht="10.5" hidden="false" customHeight="true" outlineLevel="0" collapsed="false">
      <c r="A45" s="5"/>
      <c r="B45" s="5"/>
      <c r="C45" s="50"/>
      <c r="D45" s="6"/>
      <c r="E45" s="51"/>
      <c r="G45" s="50"/>
      <c r="H45" s="10"/>
      <c r="I45" s="51"/>
      <c r="J45" s="55"/>
      <c r="K45" s="50"/>
      <c r="L45" s="10"/>
      <c r="M45" s="51"/>
      <c r="N45" s="55"/>
      <c r="O45" s="50"/>
      <c r="P45" s="10"/>
      <c r="Q45" s="51"/>
      <c r="R45" s="55"/>
      <c r="S45" s="50"/>
      <c r="T45" s="10"/>
      <c r="U45" s="51"/>
      <c r="V45" s="5"/>
      <c r="W45" s="52"/>
      <c r="X45" s="5"/>
      <c r="Y45" s="52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customFormat="false" ht="15" hidden="false" customHeight="true" outlineLevel="0" collapsed="false">
      <c r="A46" s="85" t="s">
        <v>41</v>
      </c>
      <c r="B46" s="5"/>
      <c r="C46" s="94" t="n">
        <v>2670</v>
      </c>
      <c r="D46" s="6"/>
      <c r="E46" s="95" t="n">
        <f aca="false">E42-E44</f>
        <v>3549</v>
      </c>
      <c r="G46" s="94" t="n">
        <f aca="false">G42-G44</f>
        <v>2773</v>
      </c>
      <c r="H46" s="10"/>
      <c r="I46" s="95" t="n">
        <f aca="false">I42-I44</f>
        <v>3639</v>
      </c>
      <c r="J46" s="55"/>
      <c r="K46" s="96" t="n">
        <f aca="false">K42-K44</f>
        <v>3212</v>
      </c>
      <c r="L46" s="97"/>
      <c r="M46" s="98" t="n">
        <f aca="false">M42-M44</f>
        <v>4111</v>
      </c>
      <c r="N46" s="55"/>
      <c r="O46" s="96" t="n">
        <f aca="false">O42-O44</f>
        <v>3958</v>
      </c>
      <c r="P46" s="97"/>
      <c r="Q46" s="98" t="n">
        <f aca="false">Q42-Q44</f>
        <v>4680</v>
      </c>
      <c r="R46" s="55"/>
      <c r="S46" s="96" t="n">
        <f aca="false">S42-S44</f>
        <v>12613</v>
      </c>
      <c r="T46" s="97"/>
      <c r="U46" s="98" t="n">
        <f aca="false">U42-U44</f>
        <v>15979</v>
      </c>
      <c r="V46" s="5"/>
      <c r="W46" s="56"/>
      <c r="X46" s="5"/>
      <c r="Y46" s="5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customFormat="false" ht="10.5" hidden="false" customHeight="true" outlineLevel="0" collapsed="false">
      <c r="A47" s="6"/>
      <c r="B47" s="6"/>
      <c r="C47" s="99"/>
      <c r="D47" s="48"/>
      <c r="E47" s="100"/>
      <c r="G47" s="99"/>
      <c r="H47" s="55"/>
      <c r="I47" s="100"/>
      <c r="J47" s="55"/>
      <c r="K47" s="101"/>
      <c r="L47" s="97"/>
      <c r="M47" s="102"/>
      <c r="N47" s="55"/>
      <c r="O47" s="101"/>
      <c r="P47" s="97"/>
      <c r="Q47" s="102"/>
      <c r="R47" s="55"/>
      <c r="S47" s="101"/>
      <c r="T47" s="97"/>
      <c r="U47" s="102"/>
      <c r="V47" s="5"/>
      <c r="W47" s="52"/>
      <c r="X47" s="5"/>
      <c r="Y47" s="5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customFormat="false" ht="13.8" hidden="false" customHeight="false" outlineLevel="0" collapsed="false">
      <c r="A48" s="103" t="s">
        <v>42</v>
      </c>
      <c r="B48" s="6"/>
      <c r="C48" s="104"/>
      <c r="D48" s="48"/>
      <c r="E48" s="105"/>
      <c r="G48" s="104"/>
      <c r="H48" s="55"/>
      <c r="I48" s="105"/>
      <c r="J48" s="55"/>
      <c r="K48" s="106"/>
      <c r="L48" s="97"/>
      <c r="M48" s="107"/>
      <c r="N48" s="55"/>
      <c r="O48" s="106"/>
      <c r="P48" s="97"/>
      <c r="Q48" s="107"/>
      <c r="R48" s="55"/>
      <c r="S48" s="106"/>
      <c r="T48" s="97"/>
      <c r="U48" s="107"/>
      <c r="V48" s="5"/>
      <c r="W48" s="108"/>
      <c r="X48" s="5"/>
      <c r="Y48" s="108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customFormat="false" ht="13.8" hidden="false" customHeight="false" outlineLevel="0" collapsed="false">
      <c r="A49" s="103" t="s">
        <v>43</v>
      </c>
      <c r="B49" s="6"/>
      <c r="C49" s="109" t="n">
        <f aca="false">IFERROR(C46/C54," ")</f>
        <v>0.649951314508277</v>
      </c>
      <c r="D49" s="6"/>
      <c r="E49" s="110" t="str">
        <f aca="false">IFERROR(E46/E54," ")</f>
        <v> </v>
      </c>
      <c r="G49" s="109" t="n">
        <f aca="false">IFERROR(G46/G54," ")</f>
        <v>0.675846941262491</v>
      </c>
      <c r="H49" s="10"/>
      <c r="I49" s="110" t="str">
        <f aca="false">IFERROR(I46/I54," ")</f>
        <v> </v>
      </c>
      <c r="J49" s="55"/>
      <c r="K49" s="109" t="n">
        <f aca="false">IFERROR(K46/K54," ")</f>
        <v>0.785522132550746</v>
      </c>
      <c r="L49" s="97"/>
      <c r="M49" s="111" t="str">
        <f aca="false">IFERROR(M46/M54," ")</f>
        <v> </v>
      </c>
      <c r="N49" s="55"/>
      <c r="O49" s="109" t="n">
        <f aca="false">IFERROR(O46/O54," ")</f>
        <v>0.972242692213216</v>
      </c>
      <c r="P49" s="97"/>
      <c r="Q49" s="111" t="str">
        <f aca="false">IFERROR(Q46/Q54," ")</f>
        <v> </v>
      </c>
      <c r="R49" s="55"/>
      <c r="S49" s="109" t="n">
        <f aca="false">IFERROR(S46/S54," ")</f>
        <v>3.08160273637918</v>
      </c>
      <c r="T49" s="97"/>
      <c r="U49" s="111" t="str">
        <f aca="false">IFERROR(U46/U54," ")</f>
        <v> </v>
      </c>
      <c r="V49" s="5"/>
      <c r="W49" s="112"/>
      <c r="X49" s="5"/>
      <c r="Y49" s="112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customFormat="false" ht="5.25" hidden="false" customHeight="true" outlineLevel="0" collapsed="false">
      <c r="A50" s="6"/>
      <c r="B50" s="6"/>
      <c r="C50" s="113"/>
      <c r="D50" s="6"/>
      <c r="E50" s="114"/>
      <c r="G50" s="113"/>
      <c r="H50" s="10"/>
      <c r="I50" s="114"/>
      <c r="J50" s="55"/>
      <c r="K50" s="115"/>
      <c r="L50" s="97"/>
      <c r="M50" s="116"/>
      <c r="N50" s="55"/>
      <c r="O50" s="115"/>
      <c r="P50" s="97"/>
      <c r="Q50" s="116"/>
      <c r="R50" s="55"/>
      <c r="S50" s="115"/>
      <c r="T50" s="97"/>
      <c r="U50" s="116"/>
      <c r="V50" s="5"/>
      <c r="W50" s="112"/>
      <c r="X50" s="5"/>
      <c r="Y50" s="112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customFormat="false" ht="13.8" hidden="false" customHeight="false" outlineLevel="0" collapsed="false">
      <c r="A51" s="103" t="s">
        <v>44</v>
      </c>
      <c r="B51" s="6"/>
      <c r="C51" s="109" t="n">
        <f aca="false">IFERROR(C46/C56," ")</f>
        <v>0.64868804664723</v>
      </c>
      <c r="D51" s="6"/>
      <c r="E51" s="117" t="n">
        <f aca="false">IFERROR(E46/E56," ")</f>
        <v>0.862244897959184</v>
      </c>
      <c r="G51" s="109" t="n">
        <f aca="false">IFERROR(G46/G56," ")</f>
        <v>0.673712342079689</v>
      </c>
      <c r="H51" s="10"/>
      <c r="I51" s="117" t="n">
        <f aca="false">IFERROR(I46/I56," ")</f>
        <v>0.884110787172012</v>
      </c>
      <c r="J51" s="55"/>
      <c r="K51" s="118" t="n">
        <f aca="false">IFERROR(K46/K56," ")</f>
        <v>0.781508515815085</v>
      </c>
      <c r="L51" s="97"/>
      <c r="M51" s="119" t="n">
        <f aca="false">IFERROR(M46/M56," ")</f>
        <v>1.00024330900243</v>
      </c>
      <c r="N51" s="55"/>
      <c r="O51" s="118" t="n">
        <f aca="false">IFERROR(O46/O56," ")</f>
        <v>0.96701685805033</v>
      </c>
      <c r="P51" s="97"/>
      <c r="Q51" s="119" t="n">
        <f aca="false">IFERROR(Q46/Q56," ")</f>
        <v>1.14341558758857</v>
      </c>
      <c r="R51" s="55"/>
      <c r="S51" s="118" t="n">
        <f aca="false">IFERROR(S46/S56," ")</f>
        <v>3.07259439707674</v>
      </c>
      <c r="T51" s="97"/>
      <c r="U51" s="119" t="n">
        <f aca="false">IFERROR(U46/U56," ")</f>
        <v>3.8925700365408</v>
      </c>
      <c r="V51" s="5"/>
      <c r="W51" s="112"/>
      <c r="X51" s="5"/>
      <c r="Y51" s="112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customFormat="false" ht="14.25" hidden="false" customHeight="false" outlineLevel="0" collapsed="false">
      <c r="A52" s="6"/>
      <c r="B52" s="6"/>
      <c r="C52" s="99"/>
      <c r="D52" s="48"/>
      <c r="E52" s="120"/>
      <c r="G52" s="99"/>
      <c r="H52" s="55"/>
      <c r="I52" s="120"/>
      <c r="J52" s="55"/>
      <c r="K52" s="101"/>
      <c r="L52" s="97"/>
      <c r="M52" s="121"/>
      <c r="N52" s="55"/>
      <c r="O52" s="101"/>
      <c r="P52" s="97"/>
      <c r="Q52" s="121"/>
      <c r="R52" s="55"/>
      <c r="S52" s="101"/>
      <c r="T52" s="97"/>
      <c r="U52" s="121"/>
      <c r="V52" s="5"/>
      <c r="W52" s="52"/>
      <c r="X52" s="5"/>
      <c r="Y52" s="52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customFormat="false" ht="14.25" hidden="false" customHeight="false" outlineLevel="0" collapsed="false">
      <c r="A53" s="103" t="s">
        <v>45</v>
      </c>
      <c r="B53" s="6"/>
      <c r="C53" s="104"/>
      <c r="D53" s="48"/>
      <c r="E53" s="105"/>
      <c r="G53" s="104"/>
      <c r="H53" s="55"/>
      <c r="I53" s="105"/>
      <c r="J53" s="55"/>
      <c r="K53" s="106"/>
      <c r="L53" s="97"/>
      <c r="M53" s="107"/>
      <c r="N53" s="55"/>
      <c r="O53" s="106"/>
      <c r="P53" s="97"/>
      <c r="Q53" s="107"/>
      <c r="R53" s="55"/>
      <c r="S53" s="106"/>
      <c r="T53" s="97"/>
      <c r="U53" s="107"/>
      <c r="V53" s="5"/>
      <c r="W53" s="108"/>
      <c r="X53" s="5"/>
      <c r="Y53" s="108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customFormat="false" ht="14.25" hidden="false" customHeight="false" outlineLevel="0" collapsed="false">
      <c r="A54" s="103" t="s">
        <v>46</v>
      </c>
      <c r="B54" s="6"/>
      <c r="C54" s="122" t="n">
        <v>4108</v>
      </c>
      <c r="D54" s="48"/>
      <c r="E54" s="123"/>
      <c r="G54" s="122" t="n">
        <v>4103</v>
      </c>
      <c r="H54" s="55"/>
      <c r="I54" s="123"/>
      <c r="J54" s="55"/>
      <c r="K54" s="122" t="n">
        <v>4089</v>
      </c>
      <c r="L54" s="97"/>
      <c r="M54" s="111"/>
      <c r="N54" s="55"/>
      <c r="O54" s="122" t="n">
        <v>4071</v>
      </c>
      <c r="P54" s="97"/>
      <c r="Q54" s="111"/>
      <c r="R54" s="55"/>
      <c r="S54" s="122" t="n">
        <v>4093</v>
      </c>
      <c r="T54" s="97"/>
      <c r="U54" s="111"/>
      <c r="V54" s="5"/>
      <c r="W54" s="108"/>
      <c r="X54" s="5"/>
      <c r="Y54" s="112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customFormat="false" ht="13.8" hidden="false" customHeight="false" outlineLevel="0" collapsed="false">
      <c r="A55" s="6"/>
      <c r="B55" s="6"/>
      <c r="C55" s="99"/>
      <c r="D55" s="48"/>
      <c r="E55" s="120"/>
      <c r="G55" s="99"/>
      <c r="H55" s="55"/>
      <c r="I55" s="120"/>
      <c r="J55" s="55"/>
      <c r="K55" s="101"/>
      <c r="L55" s="97"/>
      <c r="M55" s="121"/>
      <c r="N55" s="55"/>
      <c r="O55" s="101"/>
      <c r="P55" s="97"/>
      <c r="Q55" s="121"/>
      <c r="R55" s="55"/>
      <c r="S55" s="101"/>
      <c r="T55" s="97"/>
      <c r="U55" s="121"/>
      <c r="V55" s="5"/>
      <c r="W55" s="52"/>
      <c r="X55" s="5"/>
      <c r="Y55" s="52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customFormat="false" ht="14.25" hidden="false" customHeight="false" outlineLevel="0" collapsed="false">
      <c r="A56" s="103" t="s">
        <v>47</v>
      </c>
      <c r="B56" s="6"/>
      <c r="C56" s="122" t="n">
        <v>4116</v>
      </c>
      <c r="D56" s="6"/>
      <c r="E56" s="124" t="n">
        <f aca="false">C56</f>
        <v>4116</v>
      </c>
      <c r="G56" s="122" t="n">
        <v>4116</v>
      </c>
      <c r="H56" s="10"/>
      <c r="I56" s="124" t="n">
        <f aca="false">G56</f>
        <v>4116</v>
      </c>
      <c r="J56" s="55"/>
      <c r="K56" s="125" t="n">
        <v>4110</v>
      </c>
      <c r="L56" s="97"/>
      <c r="M56" s="126" t="n">
        <f aca="false">K56</f>
        <v>4110</v>
      </c>
      <c r="N56" s="55"/>
      <c r="O56" s="125" t="n">
        <v>4093</v>
      </c>
      <c r="P56" s="97"/>
      <c r="Q56" s="126" t="n">
        <f aca="false">O56</f>
        <v>4093</v>
      </c>
      <c r="R56" s="55"/>
      <c r="S56" s="125" t="n">
        <v>4105</v>
      </c>
      <c r="T56" s="97"/>
      <c r="U56" s="126" t="n">
        <f aca="false">S56</f>
        <v>4105</v>
      </c>
      <c r="V56" s="5"/>
      <c r="W56" s="108"/>
      <c r="X56" s="5"/>
      <c r="Y56" s="108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customFormat="false" ht="17.25" hidden="false" customHeight="true" outlineLevel="0" collapsed="false">
      <c r="A57" s="82" t="s">
        <v>48</v>
      </c>
      <c r="B57" s="5"/>
      <c r="C57" s="127" t="n">
        <v>0.38</v>
      </c>
      <c r="D57" s="128"/>
      <c r="E57" s="129"/>
      <c r="G57" s="127" t="n">
        <v>0.38</v>
      </c>
      <c r="H57" s="130"/>
      <c r="I57" s="129"/>
      <c r="J57" s="55"/>
      <c r="K57" s="109" t="n">
        <v>0.39</v>
      </c>
      <c r="L57" s="131"/>
      <c r="M57" s="132"/>
      <c r="N57" s="55"/>
      <c r="O57" s="109" t="n">
        <v>0.39</v>
      </c>
      <c r="P57" s="131"/>
      <c r="Q57" s="132"/>
      <c r="R57" s="55"/>
      <c r="S57" s="109" t="n">
        <f aca="false">K57+O57+G57+C57</f>
        <v>1.54</v>
      </c>
      <c r="T57" s="131"/>
      <c r="U57" s="132"/>
      <c r="V57" s="5"/>
      <c r="W57" s="112"/>
      <c r="X57" s="133"/>
      <c r="Y57" s="134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customFormat="false" ht="14.25" hidden="false" customHeight="false" outlineLevel="0" collapsed="false">
      <c r="A58" s="135"/>
      <c r="B58" s="6"/>
      <c r="C58" s="136"/>
      <c r="D58" s="137"/>
      <c r="E58" s="6"/>
      <c r="F58" s="137"/>
      <c r="G58" s="6"/>
      <c r="H58" s="137"/>
      <c r="I58" s="6"/>
      <c r="J58" s="137"/>
      <c r="K58" s="6"/>
      <c r="L58" s="137"/>
      <c r="M58" s="6"/>
      <c r="N58" s="137"/>
      <c r="O58" s="6"/>
      <c r="P58" s="137"/>
      <c r="Q58" s="6"/>
      <c r="R58" s="137"/>
      <c r="S58" s="6"/>
      <c r="T58" s="137"/>
      <c r="U58" s="6"/>
      <c r="V58" s="137"/>
      <c r="W58" s="6"/>
      <c r="X58" s="137"/>
      <c r="Y58" s="6"/>
      <c r="Z58" s="6"/>
      <c r="AA58" s="138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customFormat="false" ht="52.5" hidden="false" customHeight="true" outlineLevel="0" collapsed="false">
      <c r="A59" s="139" t="s">
        <v>49</v>
      </c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40"/>
      <c r="S59" s="140"/>
      <c r="T59" s="140"/>
      <c r="U59" s="140"/>
      <c r="V59" s="140"/>
      <c r="W59" s="140"/>
      <c r="X59" s="140"/>
      <c r="Y59" s="140"/>
      <c r="Z59" s="141"/>
      <c r="AA59" s="141"/>
      <c r="AB59" s="141"/>
      <c r="AC59" s="141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customFormat="false" ht="24.75" hidden="false" customHeight="true" outlineLevel="0" collapsed="false">
      <c r="A60" s="139"/>
      <c r="B60" s="139"/>
      <c r="C60" s="139"/>
      <c r="D60" s="139"/>
      <c r="E60" s="139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0"/>
      <c r="W60" s="140"/>
      <c r="X60" s="140"/>
      <c r="Y60" s="140"/>
      <c r="Z60" s="141"/>
      <c r="AA60" s="141"/>
      <c r="AB60" s="141"/>
      <c r="AC60" s="141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customFormat="false" ht="14.25" hidden="false" customHeight="false" outlineLevel="0" collapsed="false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3"/>
      <c r="AA61" s="6"/>
      <c r="AB61" s="143"/>
      <c r="AC61" s="143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customFormat="false" ht="14.2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4" customFormat="false" ht="14.25" hidden="false" customHeight="false" outlineLevel="0" collapsed="false">
      <c r="A64" s="6"/>
      <c r="B64" s="6"/>
      <c r="C64" s="6"/>
      <c r="D64" s="6"/>
      <c r="E64" s="65"/>
      <c r="F64" s="6"/>
      <c r="G64" s="6"/>
      <c r="H64" s="6"/>
      <c r="I64" s="65"/>
      <c r="J64" s="6"/>
      <c r="K64" s="6"/>
      <c r="L64" s="6"/>
      <c r="M64" s="65"/>
      <c r="N64" s="6"/>
      <c r="O64" s="6"/>
      <c r="P64" s="6"/>
      <c r="Q64" s="65"/>
      <c r="R64" s="6"/>
      <c r="S64" s="6"/>
      <c r="T64" s="6"/>
      <c r="U64" s="65"/>
      <c r="V64" s="6"/>
      <c r="W64" s="6"/>
      <c r="X64" s="6"/>
      <c r="Y64" s="65"/>
      <c r="Z64" s="65"/>
      <c r="AA64" s="6"/>
      <c r="AB64" s="6"/>
      <c r="AC64" s="65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70" customFormat="false" ht="12" hidden="false" customHeight="true" outlineLevel="0" collapsed="false"/>
    <row r="71" customFormat="false" ht="3" hidden="true" customHeight="true" outlineLevel="0" collapsed="false"/>
    <row r="72" customFormat="false" ht="14.25" hidden="true" customHeight="false" outlineLevel="0" collapsed="false"/>
    <row r="73" customFormat="false" ht="14.25" hidden="true" customHeight="false" outlineLevel="0" collapsed="false"/>
    <row r="74" customFormat="false" ht="14.25" hidden="true" customHeight="false" outlineLevel="0" collapsed="false"/>
    <row r="75" customFormat="false" ht="14.25" hidden="true" customHeight="false" outlineLevel="0" collapsed="false"/>
  </sheetData>
  <mergeCells count="8">
    <mergeCell ref="A5:B5"/>
    <mergeCell ref="A6:B6"/>
    <mergeCell ref="A7:B7"/>
    <mergeCell ref="A8:B8"/>
    <mergeCell ref="A9:B9"/>
    <mergeCell ref="A42:B42"/>
    <mergeCell ref="A59:Q59"/>
    <mergeCell ref="A60:E60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&amp;L&amp;9Income Statements and GAAP Reconciliation&amp;C&amp;9Cisco Systems, Inc.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LibreOffice/7.5.5.2$MacOSX_X86_64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2020-10-15T17:36:42Z</dcterms:created>
  <dc:creator>Colleen Link (colllink)</dc:creator>
  <dc:description/>
  <dc:language>en-US</dc:language>
  <cp:lastModifiedBy/>
  <cp:lastPrinted>2023-02-02T17:32:34Z</cp:lastPrinted>
  <dcterms:modified xsi:type="dcterms:W3CDTF">2023-10-19T12:45:22Z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